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PoE\DriverPoE\tests\results\"/>
    </mc:Choice>
  </mc:AlternateContent>
  <xr:revisionPtr revIDLastSave="0" documentId="13_ncr:1_{057C3425-49D9-402F-9765-A93AB73E8F04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Dados" sheetId="1" r:id="rId1"/>
    <sheet name="NãoLinearizado" sheetId="2" r:id="rId2"/>
    <sheet name="Lineariz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<sst xmlns="http://schemas.openxmlformats.org/spreadsheetml/2006/main" count="657" uniqueCount="127">
  <si>
    <t>board_serial</t>
  </si>
  <si>
    <t>board_ip</t>
  </si>
  <si>
    <t>fw_version</t>
  </si>
  <si>
    <t>label</t>
  </si>
  <si>
    <t>mode_name</t>
  </si>
  <si>
    <t>lin_enable</t>
  </si>
  <si>
    <t>bus_voltage</t>
  </si>
  <si>
    <t>dimming_pct</t>
  </si>
  <si>
    <t>f1_w</t>
  </si>
  <si>
    <t>f2_w</t>
  </si>
  <si>
    <t>total_w</t>
  </si>
  <si>
    <t>f1_v</t>
  </si>
  <si>
    <t>f1_a</t>
  </si>
  <si>
    <t>f2_v</t>
  </si>
  <si>
    <t>f2_a</t>
  </si>
  <si>
    <t>samples</t>
  </si>
  <si>
    <t>timestamp</t>
  </si>
  <si>
    <t>DriverPoE-704BCA9907B4</t>
  </si>
  <si>
    <t>192.168.1.126</t>
  </si>
  <si>
    <t>1.3.0</t>
  </si>
  <si>
    <t>hybrid lin-off</t>
  </si>
  <si>
    <t>hybrid</t>
  </si>
  <si>
    <t>2026-09-09T08:48:05</t>
  </si>
  <si>
    <t>2026-09-09T08:48:09</t>
  </si>
  <si>
    <t>2026-09-09T08:48:13</t>
  </si>
  <si>
    <t>2026-09-09T08:48:17</t>
  </si>
  <si>
    <t>2026-09-09T08:48:21</t>
  </si>
  <si>
    <t>2026-09-09T08:48:25</t>
  </si>
  <si>
    <t>2026-09-09T08:48:29</t>
  </si>
  <si>
    <t>2026-09-09T08:48:33</t>
  </si>
  <si>
    <t>2026-09-09T08:48:37</t>
  </si>
  <si>
    <t>2026-09-09T08:48:41</t>
  </si>
  <si>
    <t>2026-09-09T08:48:45</t>
  </si>
  <si>
    <t>2026-09-09T08:48:49</t>
  </si>
  <si>
    <t>2026-09-09T08:48:53</t>
  </si>
  <si>
    <t>2026-09-09T08:48:57</t>
  </si>
  <si>
    <t>2026-09-09T08:49:01</t>
  </si>
  <si>
    <t>analog lin-off</t>
  </si>
  <si>
    <t>analog</t>
  </si>
  <si>
    <t>2026-09-09T08:49:05</t>
  </si>
  <si>
    <t>2026-09-09T08:49:09</t>
  </si>
  <si>
    <t>2026-09-09T08:49:13</t>
  </si>
  <si>
    <t>2026-09-09T08:49:17</t>
  </si>
  <si>
    <t>2026-09-09T08:49:21</t>
  </si>
  <si>
    <t>2026-09-09T08:49:25</t>
  </si>
  <si>
    <t>2026-09-09T08:49:29</t>
  </si>
  <si>
    <t>2026-09-09T08:49:33</t>
  </si>
  <si>
    <t>2026-09-09T08:49:37</t>
  </si>
  <si>
    <t>2026-09-09T08:49:41</t>
  </si>
  <si>
    <t>2026-09-09T08:49:45</t>
  </si>
  <si>
    <t>2026-09-09T08:49:49</t>
  </si>
  <si>
    <t>2026-09-09T08:49:53</t>
  </si>
  <si>
    <t>2026-09-09T08:49:57</t>
  </si>
  <si>
    <t>2026-09-09T08:50:01</t>
  </si>
  <si>
    <t>pwm lin-off</t>
  </si>
  <si>
    <t>pwm</t>
  </si>
  <si>
    <t>2026-09-09T08:50:05</t>
  </si>
  <si>
    <t>2026-09-09T08:50:09</t>
  </si>
  <si>
    <t>2026-09-09T08:50:13</t>
  </si>
  <si>
    <t>2026-09-09T08:50:17</t>
  </si>
  <si>
    <t>2026-09-09T08:50:21</t>
  </si>
  <si>
    <t>2026-09-09T08:50:25</t>
  </si>
  <si>
    <t>2026-09-09T08:50:30</t>
  </si>
  <si>
    <t>2026-09-09T08:50:33</t>
  </si>
  <si>
    <t>2026-09-09T08:50:37</t>
  </si>
  <si>
    <t>2026-09-09T08:50:41</t>
  </si>
  <si>
    <t>2026-09-09T08:50:45</t>
  </si>
  <si>
    <t>2026-09-09T08:50:49</t>
  </si>
  <si>
    <t>2026-09-09T08:50:53</t>
  </si>
  <si>
    <t>2026-09-09T08:50:57</t>
  </si>
  <si>
    <t>2026-09-09T08:51:01</t>
  </si>
  <si>
    <t>hybrid lin-on</t>
  </si>
  <si>
    <t>2026-09-09T08:51:05</t>
  </si>
  <si>
    <t>2026-09-09T08:51:09</t>
  </si>
  <si>
    <t>2026-09-09T08:51:13</t>
  </si>
  <si>
    <t>2026-09-09T08:51:17</t>
  </si>
  <si>
    <t>2026-09-09T08:51:21</t>
  </si>
  <si>
    <t>2026-09-09T08:51:25</t>
  </si>
  <si>
    <t>2026-09-09T08:51:29</t>
  </si>
  <si>
    <t>2026-09-09T08:51:33</t>
  </si>
  <si>
    <t>2026-09-09T08:51:37</t>
  </si>
  <si>
    <t>2026-09-09T08:51:41</t>
  </si>
  <si>
    <t>2026-09-09T08:51:45</t>
  </si>
  <si>
    <t>2026-09-09T08:51:49</t>
  </si>
  <si>
    <t>2026-09-09T08:51:53</t>
  </si>
  <si>
    <t>2026-09-09T08:51:57</t>
  </si>
  <si>
    <t>2026-09-09T08:52:01</t>
  </si>
  <si>
    <t>analog lin-on</t>
  </si>
  <si>
    <t>2026-09-09T08:52:05</t>
  </si>
  <si>
    <t>2026-09-09T08:52:09</t>
  </si>
  <si>
    <t>2026-09-09T08:52:13</t>
  </si>
  <si>
    <t>2026-09-09T08:52:17</t>
  </si>
  <si>
    <t>2026-09-09T08:52:21</t>
  </si>
  <si>
    <t>2026-09-09T08:52:25</t>
  </si>
  <si>
    <t>2026-09-09T08:52:29</t>
  </si>
  <si>
    <t>2026-09-09T08:52:33</t>
  </si>
  <si>
    <t>2026-09-09T08:52:37</t>
  </si>
  <si>
    <t>2026-09-09T08:52:41</t>
  </si>
  <si>
    <t>2026-09-09T08:52:45</t>
  </si>
  <si>
    <t>2026-09-09T08:52:49</t>
  </si>
  <si>
    <t>2026-09-09T08:52:53</t>
  </si>
  <si>
    <t>2026-09-09T08:52:57</t>
  </si>
  <si>
    <t>2026-09-09T08:53:01</t>
  </si>
  <si>
    <t>pwm lin-on</t>
  </si>
  <si>
    <t>2026-09-09T08:53:05</t>
  </si>
  <si>
    <t>2026-09-09T08:53:10</t>
  </si>
  <si>
    <t>2026-09-09T08:53:14</t>
  </si>
  <si>
    <t>2026-09-09T08:53:17</t>
  </si>
  <si>
    <t>2026-09-09T08:53:22</t>
  </si>
  <si>
    <t>2026-09-09T08:53:25</t>
  </si>
  <si>
    <t>2026-09-09T08:53:29</t>
  </si>
  <si>
    <t>2026-09-09T08:53:33</t>
  </si>
  <si>
    <t>2026-09-09T08:53:37</t>
  </si>
  <si>
    <t>2026-09-09T08:53:41</t>
  </si>
  <si>
    <t>2026-09-09T08:53:45</t>
  </si>
  <si>
    <t>2026-09-09T08:53:49</t>
  </si>
  <si>
    <t>2026-09-09T08:53:53</t>
  </si>
  <si>
    <t>2026-09-09T08:53:57</t>
  </si>
  <si>
    <t>2026-09-09T08:54:01</t>
  </si>
  <si>
    <t>Modo dim</t>
  </si>
  <si>
    <t>Dimming (%)</t>
  </si>
  <si>
    <t>Fonte 1 (W)</t>
  </si>
  <si>
    <t>Fonte 2 (W)</t>
  </si>
  <si>
    <t>Total</t>
  </si>
  <si>
    <t>Híbrido</t>
  </si>
  <si>
    <t>Analógico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</si>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</sst>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1"/>
        <c:ser>
          <c:idx val="0"/>
          <c:order val="0"/>
          <c:tx>
            <c:v>Híbrido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NãoLinearizado!$B$2:$B$16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</c:numCache>
            </c:numRef>
          </c:xVal>
          <c:yVal>
            <c:numRef>
              <c:f>NãoLinearizado!$E$2:$E$16</c:f>
              <c:numCache>
                <c:formatCode>0.00</c:formatCode>
                <c:ptCount val="15"/>
                <c:pt idx="0">
                  <c:v>0.56600000000000006</c:v>
                </c:pt>
                <c:pt idx="1">
                  <c:v>0.56600000000000006</c:v>
                </c:pt>
                <c:pt idx="2">
                  <c:v>0.65799999999999992</c:v>
                </c:pt>
                <c:pt idx="3">
                  <c:v>0.82400000000000007</c:v>
                </c:pt>
                <c:pt idx="4">
                  <c:v>1.08</c:v>
                </c:pt>
                <c:pt idx="5">
                  <c:v>1.946</c:v>
                </c:pt>
                <c:pt idx="6">
                  <c:v>3.1859999999999999</c:v>
                </c:pt>
                <c:pt idx="7">
                  <c:v>5.2360000000000007</c:v>
                </c:pt>
                <c:pt idx="8">
                  <c:v>7.5600000000000005</c:v>
                </c:pt>
                <c:pt idx="9">
                  <c:v>11.042</c:v>
                </c:pt>
                <c:pt idx="10">
                  <c:v>14.666</c:v>
                </c:pt>
                <c:pt idx="11">
                  <c:v>17.322000000000003</c:v>
                </c:pt>
                <c:pt idx="12">
                  <c:v>19.561999999999998</c:v>
                </c:pt>
                <c:pt idx="13">
                  <c:v>21.751999999999999</c:v>
                </c:pt>
                <c:pt idx="14">
                  <c:v>24.928000000000001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69-4FA3-AAC0-9F4AA1E06268}"/>
            </c:ext>
          </c:extLst>
        </c:ser>
        <c:ser>
          <c:idx val="1"/>
          <c:order val="1"/>
          <c:tx>
            <c:v>Analógico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NãoLinearizado!$B$17:$B$31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</c:numCache>
            </c:numRef>
          </c:xVal>
          <c:yVal>
            <c:numRef>
              <c:f>NãoLinearizado!$E$17:$E$31</c:f>
              <c:numCache>
                <c:formatCode>0.00</c:formatCode>
                <c:ptCount val="15"/>
                <c:pt idx="0">
                  <c:v>0.55000000000000004</c:v>
                </c:pt>
                <c:pt idx="1">
                  <c:v>0.75</c:v>
                </c:pt>
                <c:pt idx="2">
                  <c:v>0.75</c:v>
                </c:pt>
                <c:pt idx="3">
                  <c:v>0.73</c:v>
                </c:pt>
                <c:pt idx="4">
                  <c:v>1.06</c:v>
                </c:pt>
                <c:pt idx="5">
                  <c:v>1.93</c:v>
                </c:pt>
                <c:pt idx="6">
                  <c:v>3.1579999999999999</c:v>
                </c:pt>
                <c:pt idx="7">
                  <c:v>5</c:v>
                </c:pt>
                <c:pt idx="8">
                  <c:v>7.73</c:v>
                </c:pt>
                <c:pt idx="9">
                  <c:v>10.614000000000001</c:v>
                </c:pt>
                <c:pt idx="10">
                  <c:v>14.942</c:v>
                </c:pt>
                <c:pt idx="11">
                  <c:v>16.966000000000001</c:v>
                </c:pt>
                <c:pt idx="12">
                  <c:v>19.664000000000001</c:v>
                </c:pt>
                <c:pt idx="13">
                  <c:v>21.468</c:v>
                </c:pt>
                <c:pt idx="14">
                  <c:v>25.308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69-4FA3-AAC0-9F4AA1E06268}"/>
            </c:ext>
          </c:extLst>
        </c:ser>
        <c:ser>
          <c:idx val="2"/>
          <c:order val="2"/>
          <c:tx>
            <c:v>PWM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NãoLinearizado!$B$32:$B$46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</c:numCache>
            </c:numRef>
          </c:xVal>
          <c:yVal>
            <c:numRef>
              <c:f>NãoLinearizado!$E$32:$E$46</c:f>
              <c:numCache>
                <c:formatCode>0.00</c:formatCode>
                <c:ptCount val="15"/>
                <c:pt idx="0">
                  <c:v>0.53400000000000003</c:v>
                </c:pt>
                <c:pt idx="1">
                  <c:v>0.53400000000000003</c:v>
                </c:pt>
                <c:pt idx="2">
                  <c:v>1.802</c:v>
                </c:pt>
                <c:pt idx="3">
                  <c:v>2.5540000000000003</c:v>
                </c:pt>
                <c:pt idx="4">
                  <c:v>5.3740000000000006</c:v>
                </c:pt>
                <c:pt idx="5">
                  <c:v>7.806</c:v>
                </c:pt>
                <c:pt idx="6">
                  <c:v>10.146000000000001</c:v>
                </c:pt>
                <c:pt idx="7">
                  <c:v>12.804</c:v>
                </c:pt>
                <c:pt idx="8">
                  <c:v>14.917999999999999</c:v>
                </c:pt>
                <c:pt idx="9">
                  <c:v>17.513999999999999</c:v>
                </c:pt>
                <c:pt idx="10">
                  <c:v>20.143999999999998</c:v>
                </c:pt>
                <c:pt idx="11">
                  <c:v>21.436</c:v>
                </c:pt>
                <c:pt idx="12">
                  <c:v>22.652000000000001</c:v>
                </c:pt>
                <c:pt idx="13">
                  <c:v>23.722000000000001</c:v>
                </c:pt>
                <c:pt idx="14">
                  <c:v>25.234000000000002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69-4FA3-AAC0-9F4AA1E06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Dimming (%)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Potência (W)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1"/>
        <c:ser>
          <c:idx val="0"/>
          <c:order val="0"/>
          <c:tx>
            <c:v>Híbrido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Linearizado!$B$2:$B$16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</c:numCache>
            </c:numRef>
          </c:xVal>
          <c:yVal>
            <c:numRef>
              <c:f>Linearizado!$E$2:$E$16</c:f>
              <c:numCache>
                <c:formatCode>0.00</c:formatCode>
                <c:ptCount val="15"/>
                <c:pt idx="0">
                  <c:v>0.56600000000000006</c:v>
                </c:pt>
                <c:pt idx="1">
                  <c:v>0.84400000000000008</c:v>
                </c:pt>
                <c:pt idx="2">
                  <c:v>1.968</c:v>
                </c:pt>
                <c:pt idx="3">
                  <c:v>3.6720000000000002</c:v>
                </c:pt>
                <c:pt idx="4">
                  <c:v>6.4060000000000006</c:v>
                </c:pt>
                <c:pt idx="5">
                  <c:v>9.6559999999999988</c:v>
                </c:pt>
                <c:pt idx="6">
                  <c:v>12.298</c:v>
                </c:pt>
                <c:pt idx="7">
                  <c:v>15.394</c:v>
                </c:pt>
                <c:pt idx="8">
                  <c:v>18.082000000000001</c:v>
                </c:pt>
                <c:pt idx="9">
                  <c:v>20.926000000000002</c:v>
                </c:pt>
                <c:pt idx="10">
                  <c:v>22.706000000000003</c:v>
                </c:pt>
                <c:pt idx="11">
                  <c:v>23.222000000000001</c:v>
                </c:pt>
                <c:pt idx="12">
                  <c:v>23.481999999999999</c:v>
                </c:pt>
                <c:pt idx="13">
                  <c:v>23.841999999999999</c:v>
                </c:pt>
                <c:pt idx="14">
                  <c:v>25.225999999999999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06-4F60-8BA4-39177E6480A9}"/>
            </c:ext>
          </c:extLst>
        </c:ser>
        <c:ser>
          <c:idx val="1"/>
          <c:order val="1"/>
          <c:tx>
            <c:v>Analógico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Linearizado!$B$17:$B$31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</c:numCache>
            </c:numRef>
          </c:xVal>
          <c:yVal>
            <c:numRef>
              <c:f>Linearizado!$E$17:$E$31</c:f>
              <c:numCache>
                <c:formatCode>0.00</c:formatCode>
                <c:ptCount val="15"/>
                <c:pt idx="0">
                  <c:v>0.8919999999999999</c:v>
                </c:pt>
                <c:pt idx="1">
                  <c:v>0.92999999999999994</c:v>
                </c:pt>
                <c:pt idx="2">
                  <c:v>2.0499999999999998</c:v>
                </c:pt>
                <c:pt idx="3">
                  <c:v>3.7439999999999998</c:v>
                </c:pt>
                <c:pt idx="4">
                  <c:v>6.39</c:v>
                </c:pt>
                <c:pt idx="5">
                  <c:v>9.6140000000000008</c:v>
                </c:pt>
                <c:pt idx="6">
                  <c:v>12.256</c:v>
                </c:pt>
                <c:pt idx="7">
                  <c:v>15.064</c:v>
                </c:pt>
                <c:pt idx="8">
                  <c:v>18.326000000000001</c:v>
                </c:pt>
                <c:pt idx="9">
                  <c:v>20.666</c:v>
                </c:pt>
                <c:pt idx="10">
                  <c:v>22.86</c:v>
                </c:pt>
                <c:pt idx="11">
                  <c:v>23.171999999999997</c:v>
                </c:pt>
                <c:pt idx="12">
                  <c:v>23.45</c:v>
                </c:pt>
                <c:pt idx="13">
                  <c:v>23.808</c:v>
                </c:pt>
                <c:pt idx="14">
                  <c:v>25.228000000000002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06-4F60-8BA4-39177E6480A9}"/>
            </c:ext>
          </c:extLst>
        </c:ser>
        <c:ser>
          <c:idx val="2"/>
          <c:order val="2"/>
          <c:tx>
            <c:v>PWM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Linearizado!$B$32:$B$46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</c:numCache>
            </c:numRef>
          </c:xVal>
          <c:yVal>
            <c:numRef>
              <c:f>Linearizado!$E$32:$E$46</c:f>
              <c:numCache>
                <c:formatCode>0.00</c:formatCode>
                <c:ptCount val="15"/>
                <c:pt idx="0">
                  <c:v>0.54</c:v>
                </c:pt>
                <c:pt idx="1">
                  <c:v>0.53400000000000003</c:v>
                </c:pt>
                <c:pt idx="2">
                  <c:v>1.6259999999999999</c:v>
                </c:pt>
                <c:pt idx="3">
                  <c:v>2.802</c:v>
                </c:pt>
                <c:pt idx="4">
                  <c:v>5.2520000000000007</c:v>
                </c:pt>
                <c:pt idx="5">
                  <c:v>7.7919999999999998</c:v>
                </c:pt>
                <c:pt idx="6">
                  <c:v>10.167999999999999</c:v>
                </c:pt>
                <c:pt idx="7">
                  <c:v>12.856000000000002</c:v>
                </c:pt>
                <c:pt idx="8">
                  <c:v>15.01</c:v>
                </c:pt>
                <c:pt idx="9">
                  <c:v>17.584</c:v>
                </c:pt>
                <c:pt idx="10">
                  <c:v>20.167999999999999</c:v>
                </c:pt>
                <c:pt idx="11">
                  <c:v>21.35</c:v>
                </c:pt>
                <c:pt idx="12">
                  <c:v>22.673999999999999</c:v>
                </c:pt>
                <c:pt idx="13">
                  <c:v>23.561999999999998</c:v>
                </c:pt>
                <c:pt idx="14">
                  <c:v>25.382000000000001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06-4F60-8BA4-39177E64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Dimming (%)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Potência (W)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workbookViewId="0">
      <pane ySplit="1" topLeftCell="A2" activePane="bottomLeft" state="frozen"/>
      <selection pane="bottomLeft" activeCell="R49" sqref="R49"/>
    </sheetView>
  </sheetViews>
  <sheetFormatPr defaultRowHeight="14.5" x14ac:dyDescent="0.35"/>
  <cols>
    <col min="6" max="6" width="9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b">
        <v>0</v>
      </c>
      <c r="G2">
        <v>52</v>
      </c>
      <c r="H2">
        <v>0</v>
      </c>
      <c r="I2">
        <v>0.27800000000000002</v>
      </c>
      <c r="J2">
        <v>0.28799999999999998</v>
      </c>
      <c r="K2">
        <v>0.56599999999999995</v>
      </c>
      <c r="L2">
        <v>26.02</v>
      </c>
      <c r="M2">
        <v>0.01</v>
      </c>
      <c r="N2">
        <v>-26.01</v>
      </c>
      <c r="O2">
        <v>1.0999999999999999E-2</v>
      </c>
      <c r="P2">
        <v>5</v>
      </c>
      <c r="Q2" t="s">
        <v>22</v>
      </c>
    </row>
    <row r="3" spans="1:17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b">
        <v>0</v>
      </c>
      <c r="G3">
        <v>52</v>
      </c>
      <c r="H3">
        <v>1</v>
      </c>
      <c r="I3">
        <v>0.26600000000000001</v>
      </c>
      <c r="J3">
        <v>0.3</v>
      </c>
      <c r="K3">
        <v>0.56599999999999995</v>
      </c>
      <c r="L3">
        <v>26.02</v>
      </c>
      <c r="M3">
        <v>0.01</v>
      </c>
      <c r="N3">
        <v>-26.01</v>
      </c>
      <c r="O3">
        <v>1.2E-2</v>
      </c>
      <c r="P3">
        <v>5</v>
      </c>
      <c r="Q3" t="s">
        <v>23</v>
      </c>
    </row>
    <row r="4" spans="1:17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b">
        <v>0</v>
      </c>
      <c r="G4">
        <v>52</v>
      </c>
      <c r="H4">
        <v>5</v>
      </c>
      <c r="I4">
        <v>0.31</v>
      </c>
      <c r="J4">
        <v>0.34799999999999998</v>
      </c>
      <c r="K4">
        <v>0.65800000000000003</v>
      </c>
      <c r="L4">
        <v>26.02</v>
      </c>
      <c r="M4">
        <v>1.2E-2</v>
      </c>
      <c r="N4">
        <v>-26.01</v>
      </c>
      <c r="O4">
        <v>1.4E-2</v>
      </c>
      <c r="P4">
        <v>5</v>
      </c>
      <c r="Q4" t="s">
        <v>24</v>
      </c>
    </row>
    <row r="5" spans="1:17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b">
        <v>0</v>
      </c>
      <c r="G5">
        <v>52</v>
      </c>
      <c r="H5">
        <v>10</v>
      </c>
      <c r="I5">
        <v>0.39200000000000002</v>
      </c>
      <c r="J5">
        <v>0.432</v>
      </c>
      <c r="K5">
        <v>0.82399999999999995</v>
      </c>
      <c r="L5">
        <v>26.02</v>
      </c>
      <c r="M5">
        <v>1.4999999999999999E-2</v>
      </c>
      <c r="N5">
        <v>-26.01</v>
      </c>
      <c r="O5">
        <v>1.7000000000000001E-2</v>
      </c>
      <c r="P5">
        <v>5</v>
      </c>
      <c r="Q5" t="s">
        <v>25</v>
      </c>
    </row>
    <row r="6" spans="1:17" x14ac:dyDescent="0.3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b">
        <v>0</v>
      </c>
      <c r="G6">
        <v>52</v>
      </c>
      <c r="H6">
        <v>20</v>
      </c>
      <c r="I6">
        <v>0.51</v>
      </c>
      <c r="J6">
        <v>0.56999999999999995</v>
      </c>
      <c r="K6">
        <v>1.08</v>
      </c>
      <c r="L6">
        <v>26.02</v>
      </c>
      <c r="M6">
        <v>2.1000000000000001E-2</v>
      </c>
      <c r="N6">
        <v>-26.01</v>
      </c>
      <c r="O6">
        <v>2.1999999999999999E-2</v>
      </c>
      <c r="P6">
        <v>5</v>
      </c>
      <c r="Q6" t="s">
        <v>26</v>
      </c>
    </row>
    <row r="7" spans="1:17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b">
        <v>0</v>
      </c>
      <c r="G7">
        <v>52</v>
      </c>
      <c r="H7">
        <v>30</v>
      </c>
      <c r="I7">
        <v>0.95599999999999996</v>
      </c>
      <c r="J7">
        <v>0.99</v>
      </c>
      <c r="K7">
        <v>1.946</v>
      </c>
      <c r="L7">
        <v>26.02</v>
      </c>
      <c r="M7">
        <v>3.6999999999999998E-2</v>
      </c>
      <c r="N7">
        <v>-26.01</v>
      </c>
      <c r="O7">
        <v>3.7999999999999999E-2</v>
      </c>
      <c r="P7">
        <v>5</v>
      </c>
      <c r="Q7" t="s">
        <v>27</v>
      </c>
    </row>
    <row r="8" spans="1:17" x14ac:dyDescent="0.3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b">
        <v>0</v>
      </c>
      <c r="G8">
        <v>52</v>
      </c>
      <c r="H8">
        <v>40</v>
      </c>
      <c r="I8">
        <v>1.506</v>
      </c>
      <c r="J8">
        <v>1.68</v>
      </c>
      <c r="K8">
        <v>3.1859999999999999</v>
      </c>
      <c r="L8">
        <v>26.02</v>
      </c>
      <c r="M8">
        <v>6.3E-2</v>
      </c>
      <c r="N8">
        <v>-26.01</v>
      </c>
      <c r="O8">
        <v>6.5000000000000002E-2</v>
      </c>
      <c r="P8">
        <v>5</v>
      </c>
      <c r="Q8" t="s">
        <v>28</v>
      </c>
    </row>
    <row r="9" spans="1:17" x14ac:dyDescent="0.3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b">
        <v>0</v>
      </c>
      <c r="G9">
        <v>52</v>
      </c>
      <c r="H9">
        <v>50</v>
      </c>
      <c r="I9">
        <v>2.6</v>
      </c>
      <c r="J9">
        <v>2.6360000000000001</v>
      </c>
      <c r="K9">
        <v>5.2359999999999998</v>
      </c>
      <c r="L9">
        <v>26.02</v>
      </c>
      <c r="M9">
        <v>0.1</v>
      </c>
      <c r="N9">
        <v>-26.01</v>
      </c>
      <c r="O9">
        <v>0.10100000000000001</v>
      </c>
      <c r="P9">
        <v>5</v>
      </c>
      <c r="Q9" t="s">
        <v>29</v>
      </c>
    </row>
    <row r="10" spans="1:17" x14ac:dyDescent="0.3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b">
        <v>0</v>
      </c>
      <c r="G10">
        <v>52</v>
      </c>
      <c r="H10">
        <v>60</v>
      </c>
      <c r="I10">
        <v>3.6339999999999999</v>
      </c>
      <c r="J10">
        <v>3.9260000000000002</v>
      </c>
      <c r="K10">
        <v>7.56</v>
      </c>
      <c r="L10">
        <v>26.02</v>
      </c>
      <c r="M10">
        <v>0.15</v>
      </c>
      <c r="N10">
        <v>-26.01</v>
      </c>
      <c r="O10">
        <v>0.151</v>
      </c>
      <c r="P10">
        <v>5</v>
      </c>
      <c r="Q10" t="s">
        <v>30</v>
      </c>
    </row>
    <row r="11" spans="1:17" x14ac:dyDescent="0.3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b">
        <v>0</v>
      </c>
      <c r="G11">
        <v>52</v>
      </c>
      <c r="H11">
        <v>70</v>
      </c>
      <c r="I11">
        <v>5.5060000000000002</v>
      </c>
      <c r="J11">
        <v>5.5359999999999996</v>
      </c>
      <c r="K11">
        <v>11.042</v>
      </c>
      <c r="L11">
        <v>26.02</v>
      </c>
      <c r="M11">
        <v>0.21199999999999999</v>
      </c>
      <c r="N11">
        <v>-26.01</v>
      </c>
      <c r="O11">
        <v>0.21299999999999999</v>
      </c>
      <c r="P11">
        <v>5</v>
      </c>
      <c r="Q11" t="s">
        <v>31</v>
      </c>
    </row>
    <row r="12" spans="1:17" x14ac:dyDescent="0.3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b">
        <v>0</v>
      </c>
      <c r="G12">
        <v>52</v>
      </c>
      <c r="H12">
        <v>80</v>
      </c>
      <c r="I12">
        <v>7.1180000000000003</v>
      </c>
      <c r="J12">
        <v>7.548</v>
      </c>
      <c r="K12">
        <v>14.666</v>
      </c>
      <c r="L12">
        <v>26.02</v>
      </c>
      <c r="M12">
        <v>0.28899999999999998</v>
      </c>
      <c r="N12">
        <v>-26.01</v>
      </c>
      <c r="O12">
        <v>0.28999999999999998</v>
      </c>
      <c r="P12">
        <v>5</v>
      </c>
      <c r="Q12" t="s">
        <v>32</v>
      </c>
    </row>
    <row r="13" spans="1:17" x14ac:dyDescent="0.3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b">
        <v>0</v>
      </c>
      <c r="G13">
        <v>52</v>
      </c>
      <c r="H13">
        <v>85</v>
      </c>
      <c r="I13">
        <v>8.6460000000000008</v>
      </c>
      <c r="J13">
        <v>8.6760000000000002</v>
      </c>
      <c r="K13">
        <v>17.321999999999999</v>
      </c>
      <c r="L13">
        <v>26.02</v>
      </c>
      <c r="M13">
        <v>0.33200000000000002</v>
      </c>
      <c r="N13">
        <v>-26.01</v>
      </c>
      <c r="O13">
        <v>0.33300000000000002</v>
      </c>
      <c r="P13">
        <v>5</v>
      </c>
      <c r="Q13" t="s">
        <v>33</v>
      </c>
    </row>
    <row r="14" spans="1:17" x14ac:dyDescent="0.3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b">
        <v>0</v>
      </c>
      <c r="G14">
        <v>52</v>
      </c>
      <c r="H14">
        <v>90</v>
      </c>
      <c r="I14">
        <v>9.6419999999999995</v>
      </c>
      <c r="J14">
        <v>9.92</v>
      </c>
      <c r="K14">
        <v>19.562000000000001</v>
      </c>
      <c r="L14">
        <v>26.02</v>
      </c>
      <c r="M14">
        <v>0.38</v>
      </c>
      <c r="N14">
        <v>-26.01</v>
      </c>
      <c r="O14">
        <v>0.38100000000000001</v>
      </c>
      <c r="P14">
        <v>5</v>
      </c>
      <c r="Q14" t="s">
        <v>34</v>
      </c>
    </row>
    <row r="15" spans="1:17" x14ac:dyDescent="0.3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b">
        <v>0</v>
      </c>
      <c r="G15">
        <v>52</v>
      </c>
      <c r="H15">
        <v>95</v>
      </c>
      <c r="I15">
        <v>10.866</v>
      </c>
      <c r="J15">
        <v>10.885999999999999</v>
      </c>
      <c r="K15">
        <v>21.751999999999999</v>
      </c>
      <c r="L15">
        <v>26.02</v>
      </c>
      <c r="M15">
        <v>0.41699999999999998</v>
      </c>
      <c r="N15">
        <v>-26.01</v>
      </c>
      <c r="O15">
        <v>0.41799999999999998</v>
      </c>
      <c r="P15">
        <v>5</v>
      </c>
      <c r="Q15" t="s">
        <v>35</v>
      </c>
    </row>
    <row r="16" spans="1:17" x14ac:dyDescent="0.3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b">
        <v>0</v>
      </c>
      <c r="G16">
        <v>52</v>
      </c>
      <c r="H16">
        <v>100</v>
      </c>
      <c r="I16">
        <v>12.278</v>
      </c>
      <c r="J16">
        <v>12.65</v>
      </c>
      <c r="K16">
        <v>24.928000000000001</v>
      </c>
      <c r="L16">
        <v>26.02</v>
      </c>
      <c r="M16">
        <v>0.48399999999999999</v>
      </c>
      <c r="N16">
        <v>-26.01</v>
      </c>
      <c r="O16">
        <v>0.48499999999999999</v>
      </c>
      <c r="P16">
        <v>5</v>
      </c>
      <c r="Q16" t="s">
        <v>36</v>
      </c>
    </row>
    <row r="17" spans="1:17" x14ac:dyDescent="0.35">
      <c r="A17" t="s">
        <v>17</v>
      </c>
      <c r="B17" t="s">
        <v>18</v>
      </c>
      <c r="C17" t="s">
        <v>19</v>
      </c>
      <c r="D17" t="s">
        <v>37</v>
      </c>
      <c r="E17" t="s">
        <v>38</v>
      </c>
      <c r="F17" t="b">
        <v>0</v>
      </c>
      <c r="G17">
        <v>52</v>
      </c>
      <c r="H17">
        <v>0</v>
      </c>
      <c r="I17">
        <v>0.26400000000000001</v>
      </c>
      <c r="J17">
        <v>0.28599999999999998</v>
      </c>
      <c r="K17">
        <v>0.55000000000000004</v>
      </c>
      <c r="L17">
        <v>26.02</v>
      </c>
      <c r="M17">
        <v>0.01</v>
      </c>
      <c r="N17">
        <v>-26.01</v>
      </c>
      <c r="O17">
        <v>1.0999999999999999E-2</v>
      </c>
      <c r="P17">
        <v>5</v>
      </c>
      <c r="Q17" t="s">
        <v>39</v>
      </c>
    </row>
    <row r="18" spans="1:17" x14ac:dyDescent="0.35">
      <c r="A18" t="s">
        <v>17</v>
      </c>
      <c r="B18" t="s">
        <v>18</v>
      </c>
      <c r="C18" t="s">
        <v>19</v>
      </c>
      <c r="D18" t="s">
        <v>37</v>
      </c>
      <c r="E18" t="s">
        <v>38</v>
      </c>
      <c r="F18" t="b">
        <v>0</v>
      </c>
      <c r="G18">
        <v>52</v>
      </c>
      <c r="H18">
        <v>1</v>
      </c>
      <c r="I18">
        <v>0.36</v>
      </c>
      <c r="J18">
        <v>0.39</v>
      </c>
      <c r="K18">
        <v>0.75</v>
      </c>
      <c r="L18">
        <v>26.02</v>
      </c>
      <c r="M18">
        <v>1.4E-2</v>
      </c>
      <c r="N18">
        <v>-26.01</v>
      </c>
      <c r="O18">
        <v>1.4999999999999999E-2</v>
      </c>
      <c r="P18">
        <v>5</v>
      </c>
      <c r="Q18" t="s">
        <v>40</v>
      </c>
    </row>
    <row r="19" spans="1:17" x14ac:dyDescent="0.35">
      <c r="A19" t="s">
        <v>17</v>
      </c>
      <c r="B19" t="s">
        <v>18</v>
      </c>
      <c r="C19" t="s">
        <v>19</v>
      </c>
      <c r="D19" t="s">
        <v>37</v>
      </c>
      <c r="E19" t="s">
        <v>38</v>
      </c>
      <c r="F19" t="b">
        <v>0</v>
      </c>
      <c r="G19">
        <v>52</v>
      </c>
      <c r="H19">
        <v>5</v>
      </c>
      <c r="I19">
        <v>0.36</v>
      </c>
      <c r="J19">
        <v>0.39</v>
      </c>
      <c r="K19">
        <v>0.75</v>
      </c>
      <c r="L19">
        <v>26.02</v>
      </c>
      <c r="M19">
        <v>1.4E-2</v>
      </c>
      <c r="N19">
        <v>-26.01</v>
      </c>
      <c r="O19">
        <v>1.4999999999999999E-2</v>
      </c>
      <c r="P19">
        <v>5</v>
      </c>
      <c r="Q19" t="s">
        <v>41</v>
      </c>
    </row>
    <row r="20" spans="1:17" x14ac:dyDescent="0.35">
      <c r="A20" t="s">
        <v>17</v>
      </c>
      <c r="B20" t="s">
        <v>18</v>
      </c>
      <c r="C20" t="s">
        <v>19</v>
      </c>
      <c r="D20" t="s">
        <v>37</v>
      </c>
      <c r="E20" t="s">
        <v>38</v>
      </c>
      <c r="F20" t="b">
        <v>0</v>
      </c>
      <c r="G20">
        <v>52</v>
      </c>
      <c r="H20">
        <v>10</v>
      </c>
      <c r="I20">
        <v>0.35</v>
      </c>
      <c r="J20">
        <v>0.38</v>
      </c>
      <c r="K20">
        <v>0.73</v>
      </c>
      <c r="L20">
        <v>26.02</v>
      </c>
      <c r="M20">
        <v>1.2999999999999999E-2</v>
      </c>
      <c r="N20">
        <v>-26.01</v>
      </c>
      <c r="O20">
        <v>1.4999999999999999E-2</v>
      </c>
      <c r="P20">
        <v>5</v>
      </c>
      <c r="Q20" t="s">
        <v>42</v>
      </c>
    </row>
    <row r="21" spans="1:17" x14ac:dyDescent="0.35">
      <c r="A21" t="s">
        <v>17</v>
      </c>
      <c r="B21" t="s">
        <v>18</v>
      </c>
      <c r="C21" t="s">
        <v>19</v>
      </c>
      <c r="D21" t="s">
        <v>37</v>
      </c>
      <c r="E21" t="s">
        <v>38</v>
      </c>
      <c r="F21" t="b">
        <v>0</v>
      </c>
      <c r="G21">
        <v>52</v>
      </c>
      <c r="H21">
        <v>20</v>
      </c>
      <c r="I21">
        <v>0.49399999999999999</v>
      </c>
      <c r="J21">
        <v>0.56599999999999995</v>
      </c>
      <c r="K21">
        <v>1.06</v>
      </c>
      <c r="L21">
        <v>26.02</v>
      </c>
      <c r="M21">
        <v>0.02</v>
      </c>
      <c r="N21">
        <v>-26.01</v>
      </c>
      <c r="O21">
        <v>2.1999999999999999E-2</v>
      </c>
      <c r="P21">
        <v>5</v>
      </c>
      <c r="Q21" t="s">
        <v>43</v>
      </c>
    </row>
    <row r="22" spans="1:17" x14ac:dyDescent="0.35">
      <c r="A22" t="s">
        <v>17</v>
      </c>
      <c r="B22" t="s">
        <v>18</v>
      </c>
      <c r="C22" t="s">
        <v>19</v>
      </c>
      <c r="D22" t="s">
        <v>37</v>
      </c>
      <c r="E22" t="s">
        <v>38</v>
      </c>
      <c r="F22" t="b">
        <v>0</v>
      </c>
      <c r="G22">
        <v>52</v>
      </c>
      <c r="H22">
        <v>30</v>
      </c>
      <c r="I22">
        <v>0.95</v>
      </c>
      <c r="J22">
        <v>0.98</v>
      </c>
      <c r="K22">
        <v>1.93</v>
      </c>
      <c r="L22">
        <v>26.02</v>
      </c>
      <c r="M22">
        <v>3.5999999999999997E-2</v>
      </c>
      <c r="N22">
        <v>-26.01</v>
      </c>
      <c r="O22">
        <v>3.7999999999999999E-2</v>
      </c>
      <c r="P22">
        <v>5</v>
      </c>
      <c r="Q22" t="s">
        <v>44</v>
      </c>
    </row>
    <row r="23" spans="1:17" x14ac:dyDescent="0.35">
      <c r="A23" t="s">
        <v>17</v>
      </c>
      <c r="B23" t="s">
        <v>18</v>
      </c>
      <c r="C23" t="s">
        <v>19</v>
      </c>
      <c r="D23" t="s">
        <v>37</v>
      </c>
      <c r="E23" t="s">
        <v>38</v>
      </c>
      <c r="F23" t="b">
        <v>0</v>
      </c>
      <c r="G23">
        <v>52</v>
      </c>
      <c r="H23">
        <v>40</v>
      </c>
      <c r="I23">
        <v>1.494</v>
      </c>
      <c r="J23">
        <v>1.6639999999999999</v>
      </c>
      <c r="K23">
        <v>3.1579999999999999</v>
      </c>
      <c r="L23">
        <v>26.02</v>
      </c>
      <c r="M23">
        <v>6.3E-2</v>
      </c>
      <c r="N23">
        <v>-26.01</v>
      </c>
      <c r="O23">
        <v>6.4000000000000001E-2</v>
      </c>
      <c r="P23">
        <v>5</v>
      </c>
      <c r="Q23" t="s">
        <v>45</v>
      </c>
    </row>
    <row r="24" spans="1:17" x14ac:dyDescent="0.35">
      <c r="A24" t="s">
        <v>17</v>
      </c>
      <c r="B24" t="s">
        <v>18</v>
      </c>
      <c r="C24" t="s">
        <v>19</v>
      </c>
      <c r="D24" t="s">
        <v>37</v>
      </c>
      <c r="E24" t="s">
        <v>38</v>
      </c>
      <c r="F24" t="b">
        <v>0</v>
      </c>
      <c r="G24">
        <v>52</v>
      </c>
      <c r="H24">
        <v>50</v>
      </c>
      <c r="I24">
        <v>2.39</v>
      </c>
      <c r="J24">
        <v>2.61</v>
      </c>
      <c r="K24">
        <v>5</v>
      </c>
      <c r="L24">
        <v>26.02</v>
      </c>
      <c r="M24">
        <v>9.9000000000000005E-2</v>
      </c>
      <c r="N24">
        <v>-26.01</v>
      </c>
      <c r="O24">
        <v>0.10100000000000001</v>
      </c>
      <c r="P24">
        <v>5</v>
      </c>
      <c r="Q24" t="s">
        <v>46</v>
      </c>
    </row>
    <row r="25" spans="1:17" x14ac:dyDescent="0.35">
      <c r="A25" t="s">
        <v>17</v>
      </c>
      <c r="B25" t="s">
        <v>18</v>
      </c>
      <c r="C25" t="s">
        <v>19</v>
      </c>
      <c r="D25" t="s">
        <v>37</v>
      </c>
      <c r="E25" t="s">
        <v>38</v>
      </c>
      <c r="F25" t="b">
        <v>0</v>
      </c>
      <c r="G25">
        <v>52</v>
      </c>
      <c r="H25">
        <v>60</v>
      </c>
      <c r="I25">
        <v>3.85</v>
      </c>
      <c r="J25">
        <v>3.88</v>
      </c>
      <c r="K25">
        <v>7.73</v>
      </c>
      <c r="L25">
        <v>26.02</v>
      </c>
      <c r="M25">
        <v>0.14799999999999999</v>
      </c>
      <c r="N25">
        <v>-26.01</v>
      </c>
      <c r="O25">
        <v>0.14899999999999999</v>
      </c>
      <c r="P25">
        <v>5</v>
      </c>
      <c r="Q25" t="s">
        <v>47</v>
      </c>
    </row>
    <row r="26" spans="1:17" x14ac:dyDescent="0.35">
      <c r="A26" t="s">
        <v>17</v>
      </c>
      <c r="B26" t="s">
        <v>18</v>
      </c>
      <c r="C26" t="s">
        <v>19</v>
      </c>
      <c r="D26" t="s">
        <v>37</v>
      </c>
      <c r="E26" t="s">
        <v>38</v>
      </c>
      <c r="F26" t="b">
        <v>0</v>
      </c>
      <c r="G26">
        <v>52</v>
      </c>
      <c r="H26">
        <v>70</v>
      </c>
      <c r="I26">
        <v>5.13</v>
      </c>
      <c r="J26">
        <v>5.484</v>
      </c>
      <c r="K26">
        <v>10.614000000000001</v>
      </c>
      <c r="L26">
        <v>26.02</v>
      </c>
      <c r="M26">
        <v>0.21</v>
      </c>
      <c r="N26">
        <v>-26.01</v>
      </c>
      <c r="O26">
        <v>0.21099999999999999</v>
      </c>
      <c r="P26">
        <v>5</v>
      </c>
      <c r="Q26" t="s">
        <v>48</v>
      </c>
    </row>
    <row r="27" spans="1:17" x14ac:dyDescent="0.35">
      <c r="A27" t="s">
        <v>17</v>
      </c>
      <c r="B27" t="s">
        <v>18</v>
      </c>
      <c r="C27" t="s">
        <v>19</v>
      </c>
      <c r="D27" t="s">
        <v>37</v>
      </c>
      <c r="E27" t="s">
        <v>38</v>
      </c>
      <c r="F27" t="b">
        <v>0</v>
      </c>
      <c r="G27">
        <v>52</v>
      </c>
      <c r="H27">
        <v>80</v>
      </c>
      <c r="I27">
        <v>7.4560000000000004</v>
      </c>
      <c r="J27">
        <v>7.4859999999999998</v>
      </c>
      <c r="K27">
        <v>14.942</v>
      </c>
      <c r="L27">
        <v>26.02</v>
      </c>
      <c r="M27">
        <v>0.28599999999999998</v>
      </c>
      <c r="N27">
        <v>-26.01</v>
      </c>
      <c r="O27">
        <v>0.28799999999999998</v>
      </c>
      <c r="P27">
        <v>5</v>
      </c>
      <c r="Q27" t="s">
        <v>49</v>
      </c>
    </row>
    <row r="28" spans="1:17" x14ac:dyDescent="0.35">
      <c r="A28" t="s">
        <v>17</v>
      </c>
      <c r="B28" t="s">
        <v>18</v>
      </c>
      <c r="C28" t="s">
        <v>19</v>
      </c>
      <c r="D28" t="s">
        <v>37</v>
      </c>
      <c r="E28" t="s">
        <v>38</v>
      </c>
      <c r="F28" t="b">
        <v>0</v>
      </c>
      <c r="G28">
        <v>52</v>
      </c>
      <c r="H28">
        <v>85</v>
      </c>
      <c r="I28">
        <v>8.3559999999999999</v>
      </c>
      <c r="J28">
        <v>8.61</v>
      </c>
      <c r="K28">
        <v>16.966000000000001</v>
      </c>
      <c r="L28">
        <v>26.02</v>
      </c>
      <c r="M28">
        <v>0.33</v>
      </c>
      <c r="N28">
        <v>-26.01</v>
      </c>
      <c r="O28">
        <v>0.33100000000000002</v>
      </c>
      <c r="P28">
        <v>5</v>
      </c>
      <c r="Q28" t="s">
        <v>50</v>
      </c>
    </row>
    <row r="29" spans="1:17" x14ac:dyDescent="0.35">
      <c r="A29" t="s">
        <v>17</v>
      </c>
      <c r="B29" t="s">
        <v>18</v>
      </c>
      <c r="C29" t="s">
        <v>19</v>
      </c>
      <c r="D29" t="s">
        <v>37</v>
      </c>
      <c r="E29" t="s">
        <v>38</v>
      </c>
      <c r="F29" t="b">
        <v>0</v>
      </c>
      <c r="G29">
        <v>52</v>
      </c>
      <c r="H29">
        <v>90</v>
      </c>
      <c r="I29">
        <v>9.82</v>
      </c>
      <c r="J29">
        <v>9.8439999999999994</v>
      </c>
      <c r="K29">
        <v>19.664000000000001</v>
      </c>
      <c r="L29">
        <v>26.02</v>
      </c>
      <c r="M29">
        <v>0.377</v>
      </c>
      <c r="N29">
        <v>-26.01</v>
      </c>
      <c r="O29">
        <v>0.378</v>
      </c>
      <c r="P29">
        <v>5</v>
      </c>
      <c r="Q29" t="s">
        <v>51</v>
      </c>
    </row>
    <row r="30" spans="1:17" x14ac:dyDescent="0.35">
      <c r="A30" t="s">
        <v>17</v>
      </c>
      <c r="B30" t="s">
        <v>18</v>
      </c>
      <c r="C30" t="s">
        <v>19</v>
      </c>
      <c r="D30" t="s">
        <v>37</v>
      </c>
      <c r="E30" t="s">
        <v>38</v>
      </c>
      <c r="F30" t="b">
        <v>0</v>
      </c>
      <c r="G30">
        <v>52</v>
      </c>
      <c r="H30">
        <v>95</v>
      </c>
      <c r="I30">
        <v>10.618</v>
      </c>
      <c r="J30">
        <v>10.85</v>
      </c>
      <c r="K30">
        <v>21.468</v>
      </c>
      <c r="L30">
        <v>26.02</v>
      </c>
      <c r="M30">
        <v>0.41599999999999998</v>
      </c>
      <c r="N30">
        <v>-26.01</v>
      </c>
      <c r="O30">
        <v>0.41699999999999998</v>
      </c>
      <c r="P30">
        <v>5</v>
      </c>
      <c r="Q30" t="s">
        <v>52</v>
      </c>
    </row>
    <row r="31" spans="1:17" x14ac:dyDescent="0.35">
      <c r="A31" t="s">
        <v>17</v>
      </c>
      <c r="B31" t="s">
        <v>18</v>
      </c>
      <c r="C31" t="s">
        <v>19</v>
      </c>
      <c r="D31" t="s">
        <v>37</v>
      </c>
      <c r="E31" t="s">
        <v>38</v>
      </c>
      <c r="F31" t="b">
        <v>0</v>
      </c>
      <c r="G31">
        <v>52</v>
      </c>
      <c r="H31">
        <v>100</v>
      </c>
      <c r="I31">
        <v>12.64</v>
      </c>
      <c r="J31">
        <v>12.667999999999999</v>
      </c>
      <c r="K31">
        <v>25.308</v>
      </c>
      <c r="L31">
        <v>26.02</v>
      </c>
      <c r="M31">
        <v>0.48599999999999999</v>
      </c>
      <c r="N31">
        <v>-26.01</v>
      </c>
      <c r="O31">
        <v>0.48699999999999999</v>
      </c>
      <c r="P31">
        <v>5</v>
      </c>
      <c r="Q31" t="s">
        <v>53</v>
      </c>
    </row>
    <row r="32" spans="1:17" x14ac:dyDescent="0.35">
      <c r="A32" t="s">
        <v>17</v>
      </c>
      <c r="B32" t="s">
        <v>18</v>
      </c>
      <c r="C32" t="s">
        <v>19</v>
      </c>
      <c r="D32" t="s">
        <v>54</v>
      </c>
      <c r="E32" t="s">
        <v>55</v>
      </c>
      <c r="F32" t="b">
        <v>0</v>
      </c>
      <c r="G32">
        <v>52</v>
      </c>
      <c r="H32">
        <v>0</v>
      </c>
      <c r="I32">
        <v>0.25</v>
      </c>
      <c r="J32">
        <v>0.28399999999999997</v>
      </c>
      <c r="K32">
        <v>0.53400000000000003</v>
      </c>
      <c r="L32">
        <v>26.02</v>
      </c>
      <c r="M32">
        <v>0.01</v>
      </c>
      <c r="N32">
        <v>-26.01</v>
      </c>
      <c r="O32">
        <v>1.0999999999999999E-2</v>
      </c>
      <c r="P32">
        <v>5</v>
      </c>
      <c r="Q32" t="s">
        <v>56</v>
      </c>
    </row>
    <row r="33" spans="1:17" x14ac:dyDescent="0.35">
      <c r="A33" t="s">
        <v>17</v>
      </c>
      <c r="B33" t="s">
        <v>18</v>
      </c>
      <c r="C33" t="s">
        <v>19</v>
      </c>
      <c r="D33" t="s">
        <v>54</v>
      </c>
      <c r="E33" t="s">
        <v>55</v>
      </c>
      <c r="F33" t="b">
        <v>0</v>
      </c>
      <c r="G33">
        <v>52</v>
      </c>
      <c r="H33">
        <v>1</v>
      </c>
      <c r="I33">
        <v>0.25</v>
      </c>
      <c r="J33">
        <v>0.28399999999999997</v>
      </c>
      <c r="K33">
        <v>0.53400000000000003</v>
      </c>
      <c r="L33">
        <v>26.02</v>
      </c>
      <c r="M33">
        <v>0.01</v>
      </c>
      <c r="N33">
        <v>-26.01</v>
      </c>
      <c r="O33">
        <v>1.0999999999999999E-2</v>
      </c>
      <c r="P33">
        <v>5</v>
      </c>
      <c r="Q33" t="s">
        <v>57</v>
      </c>
    </row>
    <row r="34" spans="1:17" x14ac:dyDescent="0.35">
      <c r="A34" t="s">
        <v>17</v>
      </c>
      <c r="B34" t="s">
        <v>18</v>
      </c>
      <c r="C34" t="s">
        <v>19</v>
      </c>
      <c r="D34" t="s">
        <v>54</v>
      </c>
      <c r="E34" t="s">
        <v>55</v>
      </c>
      <c r="F34" t="b">
        <v>0</v>
      </c>
      <c r="G34">
        <v>52</v>
      </c>
      <c r="H34">
        <v>5</v>
      </c>
      <c r="I34">
        <v>0.88400000000000001</v>
      </c>
      <c r="J34">
        <v>0.91800000000000004</v>
      </c>
      <c r="K34">
        <v>1.802</v>
      </c>
      <c r="L34">
        <v>26.02</v>
      </c>
      <c r="M34">
        <v>3.4000000000000002E-2</v>
      </c>
      <c r="N34">
        <v>-26.01</v>
      </c>
      <c r="O34">
        <v>3.7999999999999999E-2</v>
      </c>
      <c r="P34">
        <v>5</v>
      </c>
      <c r="Q34" t="s">
        <v>58</v>
      </c>
    </row>
    <row r="35" spans="1:17" x14ac:dyDescent="0.35">
      <c r="A35" t="s">
        <v>17</v>
      </c>
      <c r="B35" t="s">
        <v>18</v>
      </c>
      <c r="C35" t="s">
        <v>19</v>
      </c>
      <c r="D35" t="s">
        <v>54</v>
      </c>
      <c r="E35" t="s">
        <v>55</v>
      </c>
      <c r="F35" t="b">
        <v>0</v>
      </c>
      <c r="G35">
        <v>52</v>
      </c>
      <c r="H35">
        <v>10</v>
      </c>
      <c r="I35">
        <v>1.24</v>
      </c>
      <c r="J35">
        <v>1.3140000000000001</v>
      </c>
      <c r="K35">
        <v>2.5539999999999998</v>
      </c>
      <c r="L35">
        <v>26.02</v>
      </c>
      <c r="M35">
        <v>5.0999999999999997E-2</v>
      </c>
      <c r="N35">
        <v>-26.01</v>
      </c>
      <c r="O35">
        <v>5.3999999999999999E-2</v>
      </c>
      <c r="P35">
        <v>5</v>
      </c>
      <c r="Q35" t="s">
        <v>59</v>
      </c>
    </row>
    <row r="36" spans="1:17" x14ac:dyDescent="0.35">
      <c r="A36" t="s">
        <v>17</v>
      </c>
      <c r="B36" t="s">
        <v>18</v>
      </c>
      <c r="C36" t="s">
        <v>19</v>
      </c>
      <c r="D36" t="s">
        <v>54</v>
      </c>
      <c r="E36" t="s">
        <v>55</v>
      </c>
      <c r="F36" t="b">
        <v>0</v>
      </c>
      <c r="G36">
        <v>52</v>
      </c>
      <c r="H36">
        <v>20</v>
      </c>
      <c r="I36">
        <v>2.6960000000000002</v>
      </c>
      <c r="J36">
        <v>2.6779999999999999</v>
      </c>
      <c r="K36">
        <v>5.3739999999999997</v>
      </c>
      <c r="L36">
        <v>26.02</v>
      </c>
      <c r="M36">
        <v>0.104</v>
      </c>
      <c r="N36">
        <v>-26.01</v>
      </c>
      <c r="O36">
        <v>0.1</v>
      </c>
      <c r="P36">
        <v>5</v>
      </c>
      <c r="Q36" t="s">
        <v>60</v>
      </c>
    </row>
    <row r="37" spans="1:17" x14ac:dyDescent="0.35">
      <c r="A37" t="s">
        <v>17</v>
      </c>
      <c r="B37" t="s">
        <v>18</v>
      </c>
      <c r="C37" t="s">
        <v>19</v>
      </c>
      <c r="D37" t="s">
        <v>54</v>
      </c>
      <c r="E37" t="s">
        <v>55</v>
      </c>
      <c r="F37" t="b">
        <v>0</v>
      </c>
      <c r="G37">
        <v>52</v>
      </c>
      <c r="H37">
        <v>30</v>
      </c>
      <c r="I37">
        <v>3.9140000000000001</v>
      </c>
      <c r="J37">
        <v>3.8919999999999999</v>
      </c>
      <c r="K37">
        <v>7.806</v>
      </c>
      <c r="L37">
        <v>26.02</v>
      </c>
      <c r="M37">
        <v>0.15</v>
      </c>
      <c r="N37">
        <v>-26.01</v>
      </c>
      <c r="O37">
        <v>0.15</v>
      </c>
      <c r="P37">
        <v>5</v>
      </c>
      <c r="Q37" t="s">
        <v>61</v>
      </c>
    </row>
    <row r="38" spans="1:17" x14ac:dyDescent="0.35">
      <c r="A38" t="s">
        <v>17</v>
      </c>
      <c r="B38" t="s">
        <v>18</v>
      </c>
      <c r="C38" t="s">
        <v>19</v>
      </c>
      <c r="D38" t="s">
        <v>54</v>
      </c>
      <c r="E38" t="s">
        <v>55</v>
      </c>
      <c r="F38" t="b">
        <v>0</v>
      </c>
      <c r="G38">
        <v>52</v>
      </c>
      <c r="H38">
        <v>40</v>
      </c>
      <c r="I38">
        <v>4.9000000000000004</v>
      </c>
      <c r="J38">
        <v>5.2460000000000004</v>
      </c>
      <c r="K38">
        <v>10.146000000000001</v>
      </c>
      <c r="L38">
        <v>26.02</v>
      </c>
      <c r="M38">
        <v>0.19700000000000001</v>
      </c>
      <c r="N38">
        <v>-26.01</v>
      </c>
      <c r="O38">
        <v>0.191</v>
      </c>
      <c r="P38">
        <v>5</v>
      </c>
      <c r="Q38" t="s">
        <v>62</v>
      </c>
    </row>
    <row r="39" spans="1:17" x14ac:dyDescent="0.35">
      <c r="A39" t="s">
        <v>17</v>
      </c>
      <c r="B39" t="s">
        <v>18</v>
      </c>
      <c r="C39" t="s">
        <v>19</v>
      </c>
      <c r="D39" t="s">
        <v>54</v>
      </c>
      <c r="E39" t="s">
        <v>55</v>
      </c>
      <c r="F39" t="b">
        <v>0</v>
      </c>
      <c r="G39">
        <v>52</v>
      </c>
      <c r="H39">
        <v>50</v>
      </c>
      <c r="I39">
        <v>6.3639999999999999</v>
      </c>
      <c r="J39">
        <v>6.44</v>
      </c>
      <c r="K39">
        <v>12.804</v>
      </c>
      <c r="L39">
        <v>26.02</v>
      </c>
      <c r="M39">
        <v>0.245</v>
      </c>
      <c r="N39">
        <v>-26.01</v>
      </c>
      <c r="O39">
        <v>0.25</v>
      </c>
      <c r="P39">
        <v>5</v>
      </c>
      <c r="Q39" t="s">
        <v>63</v>
      </c>
    </row>
    <row r="40" spans="1:17" x14ac:dyDescent="0.35">
      <c r="A40" t="s">
        <v>17</v>
      </c>
      <c r="B40" t="s">
        <v>18</v>
      </c>
      <c r="C40" t="s">
        <v>19</v>
      </c>
      <c r="D40" t="s">
        <v>54</v>
      </c>
      <c r="E40" t="s">
        <v>55</v>
      </c>
      <c r="F40" t="b">
        <v>0</v>
      </c>
      <c r="G40">
        <v>52</v>
      </c>
      <c r="H40">
        <v>60</v>
      </c>
      <c r="I40">
        <v>7.3360000000000003</v>
      </c>
      <c r="J40">
        <v>7.5819999999999999</v>
      </c>
      <c r="K40">
        <v>14.917999999999999</v>
      </c>
      <c r="L40">
        <v>26.02</v>
      </c>
      <c r="M40">
        <v>0.29199999999999998</v>
      </c>
      <c r="N40">
        <v>-26.01</v>
      </c>
      <c r="O40">
        <v>0.29799999999999999</v>
      </c>
      <c r="P40">
        <v>5</v>
      </c>
      <c r="Q40" t="s">
        <v>64</v>
      </c>
    </row>
    <row r="41" spans="1:17" x14ac:dyDescent="0.35">
      <c r="A41" t="s">
        <v>17</v>
      </c>
      <c r="B41" t="s">
        <v>18</v>
      </c>
      <c r="C41" t="s">
        <v>19</v>
      </c>
      <c r="D41" t="s">
        <v>54</v>
      </c>
      <c r="E41" t="s">
        <v>55</v>
      </c>
      <c r="F41" t="b">
        <v>0</v>
      </c>
      <c r="G41">
        <v>52</v>
      </c>
      <c r="H41">
        <v>70</v>
      </c>
      <c r="I41">
        <v>8.7579999999999991</v>
      </c>
      <c r="J41">
        <v>8.7560000000000002</v>
      </c>
      <c r="K41">
        <v>17.513999999999999</v>
      </c>
      <c r="L41">
        <v>26.02</v>
      </c>
      <c r="M41">
        <v>0.33600000000000002</v>
      </c>
      <c r="N41">
        <v>-26.01</v>
      </c>
      <c r="O41">
        <v>0.32900000000000001</v>
      </c>
      <c r="P41">
        <v>5</v>
      </c>
      <c r="Q41" t="s">
        <v>65</v>
      </c>
    </row>
    <row r="42" spans="1:17" x14ac:dyDescent="0.35">
      <c r="A42" t="s">
        <v>17</v>
      </c>
      <c r="B42" t="s">
        <v>18</v>
      </c>
      <c r="C42" t="s">
        <v>19</v>
      </c>
      <c r="D42" t="s">
        <v>54</v>
      </c>
      <c r="E42" t="s">
        <v>55</v>
      </c>
      <c r="F42" t="b">
        <v>0</v>
      </c>
      <c r="G42">
        <v>52</v>
      </c>
      <c r="H42">
        <v>80</v>
      </c>
      <c r="I42">
        <v>9.9</v>
      </c>
      <c r="J42">
        <v>10.244</v>
      </c>
      <c r="K42">
        <v>20.143999999999998</v>
      </c>
      <c r="L42">
        <v>26.02</v>
      </c>
      <c r="M42">
        <v>0.39100000000000001</v>
      </c>
      <c r="N42">
        <v>-26.01</v>
      </c>
      <c r="O42">
        <v>0.39100000000000001</v>
      </c>
      <c r="P42">
        <v>5</v>
      </c>
      <c r="Q42" t="s">
        <v>66</v>
      </c>
    </row>
    <row r="43" spans="1:17" x14ac:dyDescent="0.35">
      <c r="A43" t="s">
        <v>17</v>
      </c>
      <c r="B43" t="s">
        <v>18</v>
      </c>
      <c r="C43" t="s">
        <v>19</v>
      </c>
      <c r="D43" t="s">
        <v>54</v>
      </c>
      <c r="E43" t="s">
        <v>55</v>
      </c>
      <c r="F43" t="b">
        <v>0</v>
      </c>
      <c r="G43">
        <v>52</v>
      </c>
      <c r="H43">
        <v>85</v>
      </c>
      <c r="I43">
        <v>10.702</v>
      </c>
      <c r="J43">
        <v>10.734</v>
      </c>
      <c r="K43">
        <v>21.436</v>
      </c>
      <c r="L43">
        <v>26.02</v>
      </c>
      <c r="M43">
        <v>0.41099999999999998</v>
      </c>
      <c r="N43">
        <v>-26.01</v>
      </c>
      <c r="O43">
        <v>0.40500000000000003</v>
      </c>
      <c r="P43">
        <v>5</v>
      </c>
      <c r="Q43" t="s">
        <v>67</v>
      </c>
    </row>
    <row r="44" spans="1:17" x14ac:dyDescent="0.35">
      <c r="A44" t="s">
        <v>17</v>
      </c>
      <c r="B44" t="s">
        <v>18</v>
      </c>
      <c r="C44" t="s">
        <v>19</v>
      </c>
      <c r="D44" t="s">
        <v>54</v>
      </c>
      <c r="E44" t="s">
        <v>55</v>
      </c>
      <c r="F44" t="b">
        <v>0</v>
      </c>
      <c r="G44">
        <v>52</v>
      </c>
      <c r="H44">
        <v>90</v>
      </c>
      <c r="I44">
        <v>11.254</v>
      </c>
      <c r="J44">
        <v>11.398</v>
      </c>
      <c r="K44">
        <v>22.652000000000001</v>
      </c>
      <c r="L44">
        <v>26.02</v>
      </c>
      <c r="M44">
        <v>0.438</v>
      </c>
      <c r="N44">
        <v>-26.01</v>
      </c>
      <c r="O44">
        <v>0.439</v>
      </c>
      <c r="P44">
        <v>5</v>
      </c>
      <c r="Q44" t="s">
        <v>68</v>
      </c>
    </row>
    <row r="45" spans="1:17" x14ac:dyDescent="0.35">
      <c r="A45" t="s">
        <v>17</v>
      </c>
      <c r="B45" t="s">
        <v>18</v>
      </c>
      <c r="C45" t="s">
        <v>19</v>
      </c>
      <c r="D45" t="s">
        <v>54</v>
      </c>
      <c r="E45" t="s">
        <v>55</v>
      </c>
      <c r="F45" t="b">
        <v>0</v>
      </c>
      <c r="G45">
        <v>52</v>
      </c>
      <c r="H45">
        <v>95</v>
      </c>
      <c r="I45">
        <v>11.846</v>
      </c>
      <c r="J45">
        <v>11.875999999999999</v>
      </c>
      <c r="K45">
        <v>23.722000000000001</v>
      </c>
      <c r="L45">
        <v>26.02</v>
      </c>
      <c r="M45">
        <v>0.45500000000000002</v>
      </c>
      <c r="N45">
        <v>-26.01</v>
      </c>
      <c r="O45">
        <v>0.45800000000000002</v>
      </c>
      <c r="P45">
        <v>5</v>
      </c>
      <c r="Q45" t="s">
        <v>69</v>
      </c>
    </row>
    <row r="46" spans="1:17" x14ac:dyDescent="0.35">
      <c r="A46" t="s">
        <v>17</v>
      </c>
      <c r="B46" t="s">
        <v>18</v>
      </c>
      <c r="C46" t="s">
        <v>19</v>
      </c>
      <c r="D46" t="s">
        <v>54</v>
      </c>
      <c r="E46" t="s">
        <v>55</v>
      </c>
      <c r="F46" t="b">
        <v>0</v>
      </c>
      <c r="G46">
        <v>52</v>
      </c>
      <c r="H46">
        <v>100</v>
      </c>
      <c r="I46">
        <v>12.52</v>
      </c>
      <c r="J46">
        <v>12.714</v>
      </c>
      <c r="K46">
        <v>25.234000000000002</v>
      </c>
      <c r="L46">
        <v>26.02</v>
      </c>
      <c r="M46">
        <v>0.48799999999999999</v>
      </c>
      <c r="N46">
        <v>-26.01</v>
      </c>
      <c r="O46">
        <v>0.48899999999999999</v>
      </c>
      <c r="P46">
        <v>5</v>
      </c>
      <c r="Q46" t="s">
        <v>70</v>
      </c>
    </row>
    <row r="47" spans="1:17" x14ac:dyDescent="0.35">
      <c r="A47" t="s">
        <v>17</v>
      </c>
      <c r="B47" t="s">
        <v>18</v>
      </c>
      <c r="C47" t="s">
        <v>19</v>
      </c>
      <c r="D47" t="s">
        <v>71</v>
      </c>
      <c r="E47" t="s">
        <v>21</v>
      </c>
      <c r="F47" t="b">
        <v>1</v>
      </c>
      <c r="G47">
        <v>52</v>
      </c>
      <c r="H47">
        <v>0</v>
      </c>
      <c r="I47">
        <v>0.27800000000000002</v>
      </c>
      <c r="J47">
        <v>0.28799999999999998</v>
      </c>
      <c r="K47">
        <v>0.56599999999999995</v>
      </c>
      <c r="L47">
        <v>26.02</v>
      </c>
      <c r="M47">
        <v>0.01</v>
      </c>
      <c r="N47">
        <v>-26.01</v>
      </c>
      <c r="O47">
        <v>1.0999999999999999E-2</v>
      </c>
      <c r="P47">
        <v>5</v>
      </c>
      <c r="Q47" t="s">
        <v>72</v>
      </c>
    </row>
    <row r="48" spans="1:17" x14ac:dyDescent="0.35">
      <c r="A48" t="s">
        <v>17</v>
      </c>
      <c r="B48" t="s">
        <v>18</v>
      </c>
      <c r="C48" t="s">
        <v>19</v>
      </c>
      <c r="D48" t="s">
        <v>71</v>
      </c>
      <c r="E48" t="s">
        <v>21</v>
      </c>
      <c r="F48" t="b">
        <v>1</v>
      </c>
      <c r="G48">
        <v>52</v>
      </c>
      <c r="H48">
        <v>1</v>
      </c>
      <c r="I48">
        <v>0.4</v>
      </c>
      <c r="J48">
        <v>0.44400000000000001</v>
      </c>
      <c r="K48">
        <v>0.84399999999999997</v>
      </c>
      <c r="L48">
        <v>26.02</v>
      </c>
      <c r="M48">
        <v>1.6E-2</v>
      </c>
      <c r="N48">
        <v>-26.01</v>
      </c>
      <c r="O48">
        <v>1.6E-2</v>
      </c>
      <c r="P48">
        <v>5</v>
      </c>
      <c r="Q48" t="s">
        <v>73</v>
      </c>
    </row>
    <row r="49" spans="1:17" x14ac:dyDescent="0.35">
      <c r="A49" t="s">
        <v>17</v>
      </c>
      <c r="B49" t="s">
        <v>18</v>
      </c>
      <c r="C49" t="s">
        <v>19</v>
      </c>
      <c r="D49" t="s">
        <v>71</v>
      </c>
      <c r="E49" t="s">
        <v>21</v>
      </c>
      <c r="F49" t="b">
        <v>1</v>
      </c>
      <c r="G49">
        <v>52</v>
      </c>
      <c r="H49">
        <v>5</v>
      </c>
      <c r="I49">
        <v>0.89600000000000002</v>
      </c>
      <c r="J49">
        <v>1.0720000000000001</v>
      </c>
      <c r="K49">
        <v>1.968</v>
      </c>
      <c r="L49">
        <v>26.02</v>
      </c>
      <c r="M49">
        <v>3.9E-2</v>
      </c>
      <c r="N49">
        <v>-26.01</v>
      </c>
      <c r="O49">
        <v>0.04</v>
      </c>
      <c r="P49">
        <v>5</v>
      </c>
      <c r="Q49" t="s">
        <v>74</v>
      </c>
    </row>
    <row r="50" spans="1:17" x14ac:dyDescent="0.35">
      <c r="A50" t="s">
        <v>17</v>
      </c>
      <c r="B50" t="s">
        <v>18</v>
      </c>
      <c r="C50" t="s">
        <v>19</v>
      </c>
      <c r="D50" t="s">
        <v>71</v>
      </c>
      <c r="E50" t="s">
        <v>21</v>
      </c>
      <c r="F50" t="b">
        <v>1</v>
      </c>
      <c r="G50">
        <v>52</v>
      </c>
      <c r="H50">
        <v>10</v>
      </c>
      <c r="I50">
        <v>1.82</v>
      </c>
      <c r="J50">
        <v>1.8520000000000001</v>
      </c>
      <c r="K50">
        <v>3.6720000000000002</v>
      </c>
      <c r="L50">
        <v>26.02</v>
      </c>
      <c r="M50">
        <v>7.0000000000000007E-2</v>
      </c>
      <c r="N50">
        <v>-26.01</v>
      </c>
      <c r="O50">
        <v>7.3999999999999996E-2</v>
      </c>
      <c r="P50">
        <v>5</v>
      </c>
      <c r="Q50" t="s">
        <v>75</v>
      </c>
    </row>
    <row r="51" spans="1:17" x14ac:dyDescent="0.35">
      <c r="A51" t="s">
        <v>17</v>
      </c>
      <c r="B51" t="s">
        <v>18</v>
      </c>
      <c r="C51" t="s">
        <v>19</v>
      </c>
      <c r="D51" t="s">
        <v>71</v>
      </c>
      <c r="E51" t="s">
        <v>21</v>
      </c>
      <c r="F51" t="b">
        <v>1</v>
      </c>
      <c r="G51">
        <v>52</v>
      </c>
      <c r="H51">
        <v>20</v>
      </c>
      <c r="I51">
        <v>3.036</v>
      </c>
      <c r="J51">
        <v>3.37</v>
      </c>
      <c r="K51">
        <v>6.4059999999999997</v>
      </c>
      <c r="L51">
        <v>26.02</v>
      </c>
      <c r="M51">
        <v>0.128</v>
      </c>
      <c r="N51">
        <v>-26.01</v>
      </c>
      <c r="O51">
        <v>0.13</v>
      </c>
      <c r="P51">
        <v>5</v>
      </c>
      <c r="Q51" t="s">
        <v>76</v>
      </c>
    </row>
    <row r="52" spans="1:17" x14ac:dyDescent="0.35">
      <c r="A52" t="s">
        <v>17</v>
      </c>
      <c r="B52" t="s">
        <v>18</v>
      </c>
      <c r="C52" t="s">
        <v>19</v>
      </c>
      <c r="D52" t="s">
        <v>71</v>
      </c>
      <c r="E52" t="s">
        <v>21</v>
      </c>
      <c r="F52" t="b">
        <v>1</v>
      </c>
      <c r="G52">
        <v>52</v>
      </c>
      <c r="H52">
        <v>30</v>
      </c>
      <c r="I52">
        <v>4.8140000000000001</v>
      </c>
      <c r="J52">
        <v>4.8419999999999996</v>
      </c>
      <c r="K52">
        <v>9.6560000000000006</v>
      </c>
      <c r="L52">
        <v>26.02</v>
      </c>
      <c r="M52">
        <v>0.185</v>
      </c>
      <c r="N52">
        <v>-26.01</v>
      </c>
      <c r="O52">
        <v>0.186</v>
      </c>
      <c r="P52">
        <v>5</v>
      </c>
      <c r="Q52" t="s">
        <v>77</v>
      </c>
    </row>
    <row r="53" spans="1:17" x14ac:dyDescent="0.35">
      <c r="A53" t="s">
        <v>17</v>
      </c>
      <c r="B53" t="s">
        <v>18</v>
      </c>
      <c r="C53" t="s">
        <v>19</v>
      </c>
      <c r="D53" t="s">
        <v>71</v>
      </c>
      <c r="E53" t="s">
        <v>21</v>
      </c>
      <c r="F53" t="b">
        <v>1</v>
      </c>
      <c r="G53">
        <v>52</v>
      </c>
      <c r="H53">
        <v>40</v>
      </c>
      <c r="I53">
        <v>5.9880000000000004</v>
      </c>
      <c r="J53">
        <v>6.31</v>
      </c>
      <c r="K53">
        <v>12.298</v>
      </c>
      <c r="L53">
        <v>26.02</v>
      </c>
      <c r="M53">
        <v>0.24099999999999999</v>
      </c>
      <c r="N53">
        <v>-26.01</v>
      </c>
      <c r="O53">
        <v>0.24299999999999999</v>
      </c>
      <c r="P53">
        <v>5</v>
      </c>
      <c r="Q53" t="s">
        <v>78</v>
      </c>
    </row>
    <row r="54" spans="1:17" x14ac:dyDescent="0.35">
      <c r="A54" t="s">
        <v>17</v>
      </c>
      <c r="B54" t="s">
        <v>18</v>
      </c>
      <c r="C54" t="s">
        <v>19</v>
      </c>
      <c r="D54" t="s">
        <v>71</v>
      </c>
      <c r="E54" t="s">
        <v>21</v>
      </c>
      <c r="F54" t="b">
        <v>1</v>
      </c>
      <c r="G54">
        <v>52</v>
      </c>
      <c r="H54">
        <v>50</v>
      </c>
      <c r="I54">
        <v>7.6840000000000002</v>
      </c>
      <c r="J54">
        <v>7.71</v>
      </c>
      <c r="K54">
        <v>15.394</v>
      </c>
      <c r="L54">
        <v>26.02</v>
      </c>
      <c r="M54">
        <v>0.29499999999999998</v>
      </c>
      <c r="N54">
        <v>-26.01</v>
      </c>
      <c r="O54">
        <v>0.29599999999999999</v>
      </c>
      <c r="P54">
        <v>5</v>
      </c>
      <c r="Q54" t="s">
        <v>79</v>
      </c>
    </row>
    <row r="55" spans="1:17" x14ac:dyDescent="0.35">
      <c r="A55" t="s">
        <v>17</v>
      </c>
      <c r="B55" t="s">
        <v>18</v>
      </c>
      <c r="C55" t="s">
        <v>19</v>
      </c>
      <c r="D55" t="s">
        <v>71</v>
      </c>
      <c r="E55" t="s">
        <v>21</v>
      </c>
      <c r="F55" t="b">
        <v>1</v>
      </c>
      <c r="G55">
        <v>52</v>
      </c>
      <c r="H55">
        <v>60</v>
      </c>
      <c r="I55">
        <v>8.8780000000000001</v>
      </c>
      <c r="J55">
        <v>9.2040000000000006</v>
      </c>
      <c r="K55">
        <v>18.082000000000001</v>
      </c>
      <c r="L55">
        <v>26.02</v>
      </c>
      <c r="M55">
        <v>0.35299999999999998</v>
      </c>
      <c r="N55">
        <v>-26.01</v>
      </c>
      <c r="O55">
        <v>0.35399999999999998</v>
      </c>
      <c r="P55">
        <v>5</v>
      </c>
      <c r="Q55" t="s">
        <v>80</v>
      </c>
    </row>
    <row r="56" spans="1:17" x14ac:dyDescent="0.35">
      <c r="A56" t="s">
        <v>17</v>
      </c>
      <c r="B56" t="s">
        <v>18</v>
      </c>
      <c r="C56" t="s">
        <v>19</v>
      </c>
      <c r="D56" t="s">
        <v>71</v>
      </c>
      <c r="E56" t="s">
        <v>21</v>
      </c>
      <c r="F56" t="b">
        <v>1</v>
      </c>
      <c r="G56">
        <v>52</v>
      </c>
      <c r="H56">
        <v>70</v>
      </c>
      <c r="I56">
        <v>10.45</v>
      </c>
      <c r="J56">
        <v>10.476000000000001</v>
      </c>
      <c r="K56">
        <v>20.925999999999998</v>
      </c>
      <c r="L56">
        <v>26.02</v>
      </c>
      <c r="M56">
        <v>0.40100000000000002</v>
      </c>
      <c r="N56">
        <v>-26.01</v>
      </c>
      <c r="O56">
        <v>0.40300000000000002</v>
      </c>
      <c r="P56">
        <v>5</v>
      </c>
      <c r="Q56" t="s">
        <v>81</v>
      </c>
    </row>
    <row r="57" spans="1:17" x14ac:dyDescent="0.35">
      <c r="A57" t="s">
        <v>17</v>
      </c>
      <c r="B57" t="s">
        <v>18</v>
      </c>
      <c r="C57" t="s">
        <v>19</v>
      </c>
      <c r="D57" t="s">
        <v>71</v>
      </c>
      <c r="E57" t="s">
        <v>21</v>
      </c>
      <c r="F57" t="b">
        <v>1</v>
      </c>
      <c r="G57">
        <v>52</v>
      </c>
      <c r="H57">
        <v>80</v>
      </c>
      <c r="I57">
        <v>11.242000000000001</v>
      </c>
      <c r="J57">
        <v>11.464</v>
      </c>
      <c r="K57">
        <v>22.706</v>
      </c>
      <c r="L57">
        <v>26.02</v>
      </c>
      <c r="M57">
        <v>0.44</v>
      </c>
      <c r="N57">
        <v>-26.01</v>
      </c>
      <c r="O57">
        <v>0.441</v>
      </c>
      <c r="P57">
        <v>5</v>
      </c>
      <c r="Q57" t="s">
        <v>82</v>
      </c>
    </row>
    <row r="58" spans="1:17" x14ac:dyDescent="0.35">
      <c r="A58" t="s">
        <v>17</v>
      </c>
      <c r="B58" t="s">
        <v>18</v>
      </c>
      <c r="C58" t="s">
        <v>19</v>
      </c>
      <c r="D58" t="s">
        <v>71</v>
      </c>
      <c r="E58" t="s">
        <v>21</v>
      </c>
      <c r="F58" t="b">
        <v>1</v>
      </c>
      <c r="G58">
        <v>52</v>
      </c>
      <c r="H58">
        <v>85</v>
      </c>
      <c r="I58">
        <v>11.6</v>
      </c>
      <c r="J58">
        <v>11.622</v>
      </c>
      <c r="K58">
        <v>23.222000000000001</v>
      </c>
      <c r="L58">
        <v>26.02</v>
      </c>
      <c r="M58">
        <v>0.44600000000000001</v>
      </c>
      <c r="N58">
        <v>-26.01</v>
      </c>
      <c r="O58">
        <v>0.44700000000000001</v>
      </c>
      <c r="P58">
        <v>5</v>
      </c>
      <c r="Q58" t="s">
        <v>83</v>
      </c>
    </row>
    <row r="59" spans="1:17" x14ac:dyDescent="0.35">
      <c r="A59" t="s">
        <v>17</v>
      </c>
      <c r="B59" t="s">
        <v>18</v>
      </c>
      <c r="C59" t="s">
        <v>19</v>
      </c>
      <c r="D59" t="s">
        <v>71</v>
      </c>
      <c r="E59" t="s">
        <v>21</v>
      </c>
      <c r="F59" t="b">
        <v>1</v>
      </c>
      <c r="G59">
        <v>52</v>
      </c>
      <c r="H59">
        <v>90</v>
      </c>
      <c r="I59">
        <v>11.714</v>
      </c>
      <c r="J59">
        <v>11.768000000000001</v>
      </c>
      <c r="K59">
        <v>23.481999999999999</v>
      </c>
      <c r="L59">
        <v>26.02</v>
      </c>
      <c r="M59">
        <v>0.45100000000000001</v>
      </c>
      <c r="N59">
        <v>-26.01</v>
      </c>
      <c r="O59">
        <v>0.45300000000000001</v>
      </c>
      <c r="P59">
        <v>5</v>
      </c>
      <c r="Q59" t="s">
        <v>84</v>
      </c>
    </row>
    <row r="60" spans="1:17" x14ac:dyDescent="0.35">
      <c r="A60" t="s">
        <v>17</v>
      </c>
      <c r="B60" t="s">
        <v>18</v>
      </c>
      <c r="C60" t="s">
        <v>19</v>
      </c>
      <c r="D60" t="s">
        <v>71</v>
      </c>
      <c r="E60" t="s">
        <v>21</v>
      </c>
      <c r="F60" t="b">
        <v>1</v>
      </c>
      <c r="G60">
        <v>52</v>
      </c>
      <c r="H60">
        <v>95</v>
      </c>
      <c r="I60">
        <v>11.91</v>
      </c>
      <c r="J60">
        <v>11.932</v>
      </c>
      <c r="K60">
        <v>23.841999999999999</v>
      </c>
      <c r="L60">
        <v>26.02</v>
      </c>
      <c r="M60">
        <v>0.45800000000000002</v>
      </c>
      <c r="N60">
        <v>-26.01</v>
      </c>
      <c r="O60">
        <v>0.45900000000000002</v>
      </c>
      <c r="P60">
        <v>5</v>
      </c>
      <c r="Q60" t="s">
        <v>85</v>
      </c>
    </row>
    <row r="61" spans="1:17" x14ac:dyDescent="0.35">
      <c r="A61" t="s">
        <v>17</v>
      </c>
      <c r="B61" t="s">
        <v>18</v>
      </c>
      <c r="C61" t="s">
        <v>19</v>
      </c>
      <c r="D61" t="s">
        <v>71</v>
      </c>
      <c r="E61" t="s">
        <v>21</v>
      </c>
      <c r="F61" t="b">
        <v>1</v>
      </c>
      <c r="G61">
        <v>52</v>
      </c>
      <c r="H61">
        <v>100</v>
      </c>
      <c r="I61">
        <v>12.526</v>
      </c>
      <c r="J61">
        <v>12.7</v>
      </c>
      <c r="K61">
        <v>25.225999999999999</v>
      </c>
      <c r="L61">
        <v>26.02</v>
      </c>
      <c r="M61">
        <v>0.48699999999999999</v>
      </c>
      <c r="N61">
        <v>-26.01</v>
      </c>
      <c r="O61">
        <v>0.48799999999999999</v>
      </c>
      <c r="P61">
        <v>5</v>
      </c>
      <c r="Q61" t="s">
        <v>86</v>
      </c>
    </row>
    <row r="62" spans="1:17" x14ac:dyDescent="0.35">
      <c r="A62" t="s">
        <v>17</v>
      </c>
      <c r="B62" t="s">
        <v>18</v>
      </c>
      <c r="C62" t="s">
        <v>19</v>
      </c>
      <c r="D62" t="s">
        <v>87</v>
      </c>
      <c r="E62" t="s">
        <v>38</v>
      </c>
      <c r="F62" t="b">
        <v>1</v>
      </c>
      <c r="G62">
        <v>52</v>
      </c>
      <c r="H62">
        <v>0</v>
      </c>
      <c r="I62">
        <v>0.61</v>
      </c>
      <c r="J62">
        <v>0.28199999999999997</v>
      </c>
      <c r="K62">
        <v>0.89200000000000002</v>
      </c>
      <c r="L62">
        <v>26.02</v>
      </c>
      <c r="M62">
        <v>0.01</v>
      </c>
      <c r="N62">
        <v>-26.01</v>
      </c>
      <c r="O62">
        <v>1.0999999999999999E-2</v>
      </c>
      <c r="P62">
        <v>5</v>
      </c>
      <c r="Q62" t="s">
        <v>88</v>
      </c>
    </row>
    <row r="63" spans="1:17" x14ac:dyDescent="0.35">
      <c r="A63" t="s">
        <v>17</v>
      </c>
      <c r="B63" t="s">
        <v>18</v>
      </c>
      <c r="C63" t="s">
        <v>19</v>
      </c>
      <c r="D63" t="s">
        <v>87</v>
      </c>
      <c r="E63" t="s">
        <v>38</v>
      </c>
      <c r="F63" t="b">
        <v>1</v>
      </c>
      <c r="G63">
        <v>52</v>
      </c>
      <c r="H63">
        <v>1</v>
      </c>
      <c r="I63">
        <v>0.45</v>
      </c>
      <c r="J63">
        <v>0.48</v>
      </c>
      <c r="K63">
        <v>0.93</v>
      </c>
      <c r="L63">
        <v>26.02</v>
      </c>
      <c r="M63">
        <v>1.7000000000000001E-2</v>
      </c>
      <c r="N63">
        <v>-26.01</v>
      </c>
      <c r="O63">
        <v>1.7999999999999999E-2</v>
      </c>
      <c r="P63">
        <v>5</v>
      </c>
      <c r="Q63" t="s">
        <v>89</v>
      </c>
    </row>
    <row r="64" spans="1:17" x14ac:dyDescent="0.35">
      <c r="A64" t="s">
        <v>17</v>
      </c>
      <c r="B64" t="s">
        <v>18</v>
      </c>
      <c r="C64" t="s">
        <v>19</v>
      </c>
      <c r="D64" t="s">
        <v>87</v>
      </c>
      <c r="E64" t="s">
        <v>38</v>
      </c>
      <c r="F64" t="b">
        <v>1</v>
      </c>
      <c r="G64">
        <v>52</v>
      </c>
      <c r="H64">
        <v>5</v>
      </c>
      <c r="I64">
        <v>0.94599999999999995</v>
      </c>
      <c r="J64">
        <v>1.1040000000000001</v>
      </c>
      <c r="K64">
        <v>2.0499999999999998</v>
      </c>
      <c r="L64">
        <v>26.02</v>
      </c>
      <c r="M64">
        <v>4.1000000000000002E-2</v>
      </c>
      <c r="N64">
        <v>-26.01</v>
      </c>
      <c r="O64">
        <v>4.2000000000000003E-2</v>
      </c>
      <c r="P64">
        <v>5</v>
      </c>
      <c r="Q64" t="s">
        <v>90</v>
      </c>
    </row>
    <row r="65" spans="1:17" x14ac:dyDescent="0.35">
      <c r="A65" t="s">
        <v>17</v>
      </c>
      <c r="B65" t="s">
        <v>18</v>
      </c>
      <c r="C65" t="s">
        <v>19</v>
      </c>
      <c r="D65" t="s">
        <v>87</v>
      </c>
      <c r="E65" t="s">
        <v>38</v>
      </c>
      <c r="F65" t="b">
        <v>1</v>
      </c>
      <c r="G65">
        <v>52</v>
      </c>
      <c r="H65">
        <v>10</v>
      </c>
      <c r="I65">
        <v>1.8540000000000001</v>
      </c>
      <c r="J65">
        <v>1.89</v>
      </c>
      <c r="K65">
        <v>3.7440000000000002</v>
      </c>
      <c r="L65">
        <v>26.02</v>
      </c>
      <c r="M65">
        <v>7.0999999999999994E-2</v>
      </c>
      <c r="N65">
        <v>-26.01</v>
      </c>
      <c r="O65">
        <v>7.2999999999999995E-2</v>
      </c>
      <c r="P65">
        <v>5</v>
      </c>
      <c r="Q65" t="s">
        <v>91</v>
      </c>
    </row>
    <row r="66" spans="1:17" x14ac:dyDescent="0.35">
      <c r="A66" t="s">
        <v>17</v>
      </c>
      <c r="B66" t="s">
        <v>18</v>
      </c>
      <c r="C66" t="s">
        <v>19</v>
      </c>
      <c r="D66" t="s">
        <v>87</v>
      </c>
      <c r="E66" t="s">
        <v>38</v>
      </c>
      <c r="F66" t="b">
        <v>1</v>
      </c>
      <c r="G66">
        <v>52</v>
      </c>
      <c r="H66">
        <v>20</v>
      </c>
      <c r="I66">
        <v>3.03</v>
      </c>
      <c r="J66">
        <v>3.36</v>
      </c>
      <c r="K66">
        <v>6.39</v>
      </c>
      <c r="L66">
        <v>26.02</v>
      </c>
      <c r="M66">
        <v>0.128</v>
      </c>
      <c r="N66">
        <v>-26.01</v>
      </c>
      <c r="O66">
        <v>0.129</v>
      </c>
      <c r="P66">
        <v>5</v>
      </c>
      <c r="Q66" t="s">
        <v>92</v>
      </c>
    </row>
    <row r="67" spans="1:17" x14ac:dyDescent="0.35">
      <c r="A67" t="s">
        <v>17</v>
      </c>
      <c r="B67" t="s">
        <v>18</v>
      </c>
      <c r="C67" t="s">
        <v>19</v>
      </c>
      <c r="D67" t="s">
        <v>87</v>
      </c>
      <c r="E67" t="s">
        <v>38</v>
      </c>
      <c r="F67" t="b">
        <v>1</v>
      </c>
      <c r="G67">
        <v>52</v>
      </c>
      <c r="H67">
        <v>30</v>
      </c>
      <c r="I67">
        <v>4.79</v>
      </c>
      <c r="J67">
        <v>4.8239999999999998</v>
      </c>
      <c r="K67">
        <v>9.6140000000000008</v>
      </c>
      <c r="L67">
        <v>26.02</v>
      </c>
      <c r="M67">
        <v>0.184</v>
      </c>
      <c r="N67">
        <v>-26.01</v>
      </c>
      <c r="O67">
        <v>0.185</v>
      </c>
      <c r="P67">
        <v>5</v>
      </c>
      <c r="Q67" t="s">
        <v>93</v>
      </c>
    </row>
    <row r="68" spans="1:17" x14ac:dyDescent="0.35">
      <c r="A68" t="s">
        <v>17</v>
      </c>
      <c r="B68" t="s">
        <v>18</v>
      </c>
      <c r="C68" t="s">
        <v>19</v>
      </c>
      <c r="D68" t="s">
        <v>87</v>
      </c>
      <c r="E68" t="s">
        <v>38</v>
      </c>
      <c r="F68" t="b">
        <v>1</v>
      </c>
      <c r="G68">
        <v>52</v>
      </c>
      <c r="H68">
        <v>40</v>
      </c>
      <c r="I68">
        <v>5.9660000000000002</v>
      </c>
      <c r="J68">
        <v>6.29</v>
      </c>
      <c r="K68">
        <v>12.256</v>
      </c>
      <c r="L68">
        <v>26.02</v>
      </c>
      <c r="M68">
        <v>0.24099999999999999</v>
      </c>
      <c r="N68">
        <v>-26.01</v>
      </c>
      <c r="O68">
        <v>0.24199999999999999</v>
      </c>
      <c r="P68">
        <v>5</v>
      </c>
      <c r="Q68" t="s">
        <v>94</v>
      </c>
    </row>
    <row r="69" spans="1:17" x14ac:dyDescent="0.35">
      <c r="A69" t="s">
        <v>17</v>
      </c>
      <c r="B69" t="s">
        <v>18</v>
      </c>
      <c r="C69" t="s">
        <v>19</v>
      </c>
      <c r="D69" t="s">
        <v>87</v>
      </c>
      <c r="E69" t="s">
        <v>38</v>
      </c>
      <c r="F69" t="b">
        <v>1</v>
      </c>
      <c r="G69">
        <v>52</v>
      </c>
      <c r="H69">
        <v>50</v>
      </c>
      <c r="I69">
        <v>7.3739999999999997</v>
      </c>
      <c r="J69">
        <v>7.69</v>
      </c>
      <c r="K69">
        <v>15.064</v>
      </c>
      <c r="L69">
        <v>26.02</v>
      </c>
      <c r="M69">
        <v>0.29399999999999998</v>
      </c>
      <c r="N69">
        <v>-26.01</v>
      </c>
      <c r="O69">
        <v>0.29599999999999999</v>
      </c>
      <c r="P69">
        <v>5</v>
      </c>
      <c r="Q69" t="s">
        <v>95</v>
      </c>
    </row>
    <row r="70" spans="1:17" x14ac:dyDescent="0.35">
      <c r="A70" t="s">
        <v>17</v>
      </c>
      <c r="B70" t="s">
        <v>18</v>
      </c>
      <c r="C70" t="s">
        <v>19</v>
      </c>
      <c r="D70" t="s">
        <v>87</v>
      </c>
      <c r="E70" t="s">
        <v>38</v>
      </c>
      <c r="F70" t="b">
        <v>1</v>
      </c>
      <c r="G70">
        <v>52</v>
      </c>
      <c r="H70">
        <v>60</v>
      </c>
      <c r="I70">
        <v>9.15</v>
      </c>
      <c r="J70">
        <v>9.1760000000000002</v>
      </c>
      <c r="K70">
        <v>18.326000000000001</v>
      </c>
      <c r="L70">
        <v>26.02</v>
      </c>
      <c r="M70">
        <v>0.35199999999999998</v>
      </c>
      <c r="N70">
        <v>-26.01</v>
      </c>
      <c r="O70">
        <v>0.35299999999999998</v>
      </c>
      <c r="P70">
        <v>5</v>
      </c>
      <c r="Q70" t="s">
        <v>96</v>
      </c>
    </row>
    <row r="71" spans="1:17" x14ac:dyDescent="0.35">
      <c r="A71" t="s">
        <v>17</v>
      </c>
      <c r="B71" t="s">
        <v>18</v>
      </c>
      <c r="C71" t="s">
        <v>19</v>
      </c>
      <c r="D71" t="s">
        <v>87</v>
      </c>
      <c r="E71" t="s">
        <v>38</v>
      </c>
      <c r="F71" t="b">
        <v>1</v>
      </c>
      <c r="G71">
        <v>52</v>
      </c>
      <c r="H71">
        <v>70</v>
      </c>
      <c r="I71">
        <v>10.19</v>
      </c>
      <c r="J71">
        <v>10.476000000000001</v>
      </c>
      <c r="K71">
        <v>20.666</v>
      </c>
      <c r="L71">
        <v>26.02</v>
      </c>
      <c r="M71">
        <v>0.40200000000000002</v>
      </c>
      <c r="N71">
        <v>-26.01</v>
      </c>
      <c r="O71">
        <v>0.40300000000000002</v>
      </c>
      <c r="P71">
        <v>5</v>
      </c>
      <c r="Q71" t="s">
        <v>97</v>
      </c>
    </row>
    <row r="72" spans="1:17" x14ac:dyDescent="0.35">
      <c r="A72" t="s">
        <v>17</v>
      </c>
      <c r="B72" t="s">
        <v>18</v>
      </c>
      <c r="C72" t="s">
        <v>19</v>
      </c>
      <c r="D72" t="s">
        <v>87</v>
      </c>
      <c r="E72" t="s">
        <v>38</v>
      </c>
      <c r="F72" t="b">
        <v>1</v>
      </c>
      <c r="G72">
        <v>52</v>
      </c>
      <c r="H72">
        <v>80</v>
      </c>
      <c r="I72">
        <v>11.42</v>
      </c>
      <c r="J72">
        <v>11.44</v>
      </c>
      <c r="K72">
        <v>22.86</v>
      </c>
      <c r="L72">
        <v>26.02</v>
      </c>
      <c r="M72">
        <v>0.439</v>
      </c>
      <c r="N72">
        <v>-26.01</v>
      </c>
      <c r="O72">
        <v>0.44</v>
      </c>
      <c r="P72">
        <v>5</v>
      </c>
      <c r="Q72" t="s">
        <v>98</v>
      </c>
    </row>
    <row r="73" spans="1:17" x14ac:dyDescent="0.35">
      <c r="A73" t="s">
        <v>17</v>
      </c>
      <c r="B73" t="s">
        <v>18</v>
      </c>
      <c r="C73" t="s">
        <v>19</v>
      </c>
      <c r="D73" t="s">
        <v>87</v>
      </c>
      <c r="E73" t="s">
        <v>38</v>
      </c>
      <c r="F73" t="b">
        <v>1</v>
      </c>
      <c r="G73">
        <v>52</v>
      </c>
      <c r="H73">
        <v>85</v>
      </c>
      <c r="I73">
        <v>11.555999999999999</v>
      </c>
      <c r="J73">
        <v>11.616</v>
      </c>
      <c r="K73">
        <v>23.172000000000001</v>
      </c>
      <c r="L73">
        <v>26.02</v>
      </c>
      <c r="M73">
        <v>0.44500000000000001</v>
      </c>
      <c r="N73">
        <v>-26.01</v>
      </c>
      <c r="O73">
        <v>0.44700000000000001</v>
      </c>
      <c r="P73">
        <v>5</v>
      </c>
      <c r="Q73" t="s">
        <v>99</v>
      </c>
    </row>
    <row r="74" spans="1:17" x14ac:dyDescent="0.35">
      <c r="A74" t="s">
        <v>17</v>
      </c>
      <c r="B74" t="s">
        <v>18</v>
      </c>
      <c r="C74" t="s">
        <v>19</v>
      </c>
      <c r="D74" t="s">
        <v>87</v>
      </c>
      <c r="E74" t="s">
        <v>38</v>
      </c>
      <c r="F74" t="b">
        <v>1</v>
      </c>
      <c r="G74">
        <v>52</v>
      </c>
      <c r="H74">
        <v>90</v>
      </c>
      <c r="I74">
        <v>11.706</v>
      </c>
      <c r="J74">
        <v>11.744</v>
      </c>
      <c r="K74">
        <v>23.45</v>
      </c>
      <c r="L74">
        <v>26.02</v>
      </c>
      <c r="M74">
        <v>0.45100000000000001</v>
      </c>
      <c r="N74">
        <v>-26.01</v>
      </c>
      <c r="O74">
        <v>0.45200000000000001</v>
      </c>
      <c r="P74">
        <v>5</v>
      </c>
      <c r="Q74" t="s">
        <v>100</v>
      </c>
    </row>
    <row r="75" spans="1:17" x14ac:dyDescent="0.35">
      <c r="A75" t="s">
        <v>17</v>
      </c>
      <c r="B75" t="s">
        <v>18</v>
      </c>
      <c r="C75" t="s">
        <v>19</v>
      </c>
      <c r="D75" t="s">
        <v>87</v>
      </c>
      <c r="E75" t="s">
        <v>38</v>
      </c>
      <c r="F75" t="b">
        <v>1</v>
      </c>
      <c r="G75">
        <v>52</v>
      </c>
      <c r="H75">
        <v>95</v>
      </c>
      <c r="I75">
        <v>11.89</v>
      </c>
      <c r="J75">
        <v>11.917999999999999</v>
      </c>
      <c r="K75">
        <v>23.808</v>
      </c>
      <c r="L75">
        <v>26.02</v>
      </c>
      <c r="M75">
        <v>0.45700000000000002</v>
      </c>
      <c r="N75">
        <v>-26.01</v>
      </c>
      <c r="O75">
        <v>0.45800000000000002</v>
      </c>
      <c r="P75">
        <v>5</v>
      </c>
      <c r="Q75" t="s">
        <v>101</v>
      </c>
    </row>
    <row r="76" spans="1:17" x14ac:dyDescent="0.35">
      <c r="A76" t="s">
        <v>17</v>
      </c>
      <c r="B76" t="s">
        <v>18</v>
      </c>
      <c r="C76" t="s">
        <v>19</v>
      </c>
      <c r="D76" t="s">
        <v>87</v>
      </c>
      <c r="E76" t="s">
        <v>38</v>
      </c>
      <c r="F76" t="b">
        <v>1</v>
      </c>
      <c r="G76">
        <v>52</v>
      </c>
      <c r="H76">
        <v>100</v>
      </c>
      <c r="I76">
        <v>12.53</v>
      </c>
      <c r="J76">
        <v>12.698</v>
      </c>
      <c r="K76">
        <v>25.228000000000002</v>
      </c>
      <c r="L76">
        <v>26.02</v>
      </c>
      <c r="M76">
        <v>0.48799999999999999</v>
      </c>
      <c r="N76">
        <v>-26.01</v>
      </c>
      <c r="O76">
        <v>0.48799999999999999</v>
      </c>
      <c r="P76">
        <v>5</v>
      </c>
      <c r="Q76" t="s">
        <v>102</v>
      </c>
    </row>
    <row r="77" spans="1:17" x14ac:dyDescent="0.35">
      <c r="A77" t="s">
        <v>17</v>
      </c>
      <c r="B77" t="s">
        <v>18</v>
      </c>
      <c r="C77" t="s">
        <v>19</v>
      </c>
      <c r="D77" t="s">
        <v>103</v>
      </c>
      <c r="E77" t="s">
        <v>55</v>
      </c>
      <c r="F77" t="b">
        <v>1</v>
      </c>
      <c r="G77">
        <v>52</v>
      </c>
      <c r="H77">
        <v>0</v>
      </c>
      <c r="I77">
        <v>0.252</v>
      </c>
      <c r="J77">
        <v>0.28799999999999998</v>
      </c>
      <c r="K77">
        <v>0.54</v>
      </c>
      <c r="L77">
        <v>26.02</v>
      </c>
      <c r="M77">
        <v>0.01</v>
      </c>
      <c r="N77">
        <v>-26.01</v>
      </c>
      <c r="O77">
        <v>1.0999999999999999E-2</v>
      </c>
      <c r="P77">
        <v>5</v>
      </c>
      <c r="Q77" t="s">
        <v>104</v>
      </c>
    </row>
    <row r="78" spans="1:17" x14ac:dyDescent="0.35">
      <c r="A78" t="s">
        <v>17</v>
      </c>
      <c r="B78" t="s">
        <v>18</v>
      </c>
      <c r="C78" t="s">
        <v>19</v>
      </c>
      <c r="D78" t="s">
        <v>103</v>
      </c>
      <c r="E78" t="s">
        <v>55</v>
      </c>
      <c r="F78" t="b">
        <v>1</v>
      </c>
      <c r="G78">
        <v>52</v>
      </c>
      <c r="H78">
        <v>1</v>
      </c>
      <c r="I78">
        <v>0.25</v>
      </c>
      <c r="J78">
        <v>0.28399999999999997</v>
      </c>
      <c r="K78">
        <v>0.53400000000000003</v>
      </c>
      <c r="L78">
        <v>26.02</v>
      </c>
      <c r="M78">
        <v>0.01</v>
      </c>
      <c r="N78">
        <v>-26.01</v>
      </c>
      <c r="O78">
        <v>1.0999999999999999E-2</v>
      </c>
      <c r="P78">
        <v>5</v>
      </c>
      <c r="Q78" t="s">
        <v>105</v>
      </c>
    </row>
    <row r="79" spans="1:17" x14ac:dyDescent="0.35">
      <c r="A79" t="s">
        <v>17</v>
      </c>
      <c r="B79" t="s">
        <v>18</v>
      </c>
      <c r="C79" t="s">
        <v>19</v>
      </c>
      <c r="D79" t="s">
        <v>103</v>
      </c>
      <c r="E79" t="s">
        <v>55</v>
      </c>
      <c r="F79" t="b">
        <v>1</v>
      </c>
      <c r="G79">
        <v>52</v>
      </c>
      <c r="H79">
        <v>5</v>
      </c>
      <c r="I79">
        <v>0.752</v>
      </c>
      <c r="J79">
        <v>0.874</v>
      </c>
      <c r="K79">
        <v>1.6259999999999999</v>
      </c>
      <c r="L79">
        <v>26.02</v>
      </c>
      <c r="M79">
        <v>3.4000000000000002E-2</v>
      </c>
      <c r="N79">
        <v>-26.01</v>
      </c>
      <c r="O79">
        <v>3.5000000000000003E-2</v>
      </c>
      <c r="P79">
        <v>5</v>
      </c>
      <c r="Q79" t="s">
        <v>106</v>
      </c>
    </row>
    <row r="80" spans="1:17" x14ac:dyDescent="0.35">
      <c r="A80" t="s">
        <v>17</v>
      </c>
      <c r="B80" t="s">
        <v>18</v>
      </c>
      <c r="C80" t="s">
        <v>19</v>
      </c>
      <c r="D80" t="s">
        <v>103</v>
      </c>
      <c r="E80" t="s">
        <v>55</v>
      </c>
      <c r="F80" t="b">
        <v>1</v>
      </c>
      <c r="G80">
        <v>52</v>
      </c>
      <c r="H80">
        <v>10</v>
      </c>
      <c r="I80">
        <v>1.3660000000000001</v>
      </c>
      <c r="J80">
        <v>1.4359999999999999</v>
      </c>
      <c r="K80">
        <v>2.802</v>
      </c>
      <c r="L80">
        <v>26.02</v>
      </c>
      <c r="M80">
        <v>5.1999999999999998E-2</v>
      </c>
      <c r="N80">
        <v>-26.01</v>
      </c>
      <c r="O80">
        <v>5.1999999999999998E-2</v>
      </c>
      <c r="P80">
        <v>5</v>
      </c>
      <c r="Q80" t="s">
        <v>107</v>
      </c>
    </row>
    <row r="81" spans="1:17" x14ac:dyDescent="0.35">
      <c r="A81" t="s">
        <v>17</v>
      </c>
      <c r="B81" t="s">
        <v>18</v>
      </c>
      <c r="C81" t="s">
        <v>19</v>
      </c>
      <c r="D81" t="s">
        <v>103</v>
      </c>
      <c r="E81" t="s">
        <v>55</v>
      </c>
      <c r="F81" t="b">
        <v>1</v>
      </c>
      <c r="G81">
        <v>52</v>
      </c>
      <c r="H81">
        <v>20</v>
      </c>
      <c r="I81">
        <v>2.4380000000000002</v>
      </c>
      <c r="J81">
        <v>2.8140000000000001</v>
      </c>
      <c r="K81">
        <v>5.2519999999999998</v>
      </c>
      <c r="L81">
        <v>26.02</v>
      </c>
      <c r="M81">
        <v>0.104</v>
      </c>
      <c r="N81">
        <v>-26.01</v>
      </c>
      <c r="O81">
        <v>0.113</v>
      </c>
      <c r="P81">
        <v>5</v>
      </c>
      <c r="Q81" t="s">
        <v>108</v>
      </c>
    </row>
    <row r="82" spans="1:17" x14ac:dyDescent="0.35">
      <c r="A82" t="s">
        <v>17</v>
      </c>
      <c r="B82" t="s">
        <v>18</v>
      </c>
      <c r="C82" t="s">
        <v>19</v>
      </c>
      <c r="D82" t="s">
        <v>103</v>
      </c>
      <c r="E82" t="s">
        <v>55</v>
      </c>
      <c r="F82" t="b">
        <v>1</v>
      </c>
      <c r="G82">
        <v>52</v>
      </c>
      <c r="H82">
        <v>30</v>
      </c>
      <c r="I82">
        <v>3.9140000000000001</v>
      </c>
      <c r="J82">
        <v>3.8780000000000001</v>
      </c>
      <c r="K82">
        <v>7.7919999999999998</v>
      </c>
      <c r="L82">
        <v>26.02</v>
      </c>
      <c r="M82">
        <v>0.15</v>
      </c>
      <c r="N82">
        <v>-26.01</v>
      </c>
      <c r="O82">
        <v>0.14499999999999999</v>
      </c>
      <c r="P82">
        <v>5</v>
      </c>
      <c r="Q82" t="s">
        <v>109</v>
      </c>
    </row>
    <row r="83" spans="1:17" x14ac:dyDescent="0.35">
      <c r="A83" t="s">
        <v>17</v>
      </c>
      <c r="B83" t="s">
        <v>18</v>
      </c>
      <c r="C83" t="s">
        <v>19</v>
      </c>
      <c r="D83" t="s">
        <v>103</v>
      </c>
      <c r="E83" t="s">
        <v>55</v>
      </c>
      <c r="F83" t="b">
        <v>1</v>
      </c>
      <c r="G83">
        <v>52</v>
      </c>
      <c r="H83">
        <v>40</v>
      </c>
      <c r="I83">
        <v>4.92</v>
      </c>
      <c r="J83">
        <v>5.2480000000000002</v>
      </c>
      <c r="K83">
        <v>10.167999999999999</v>
      </c>
      <c r="L83">
        <v>26.02</v>
      </c>
      <c r="M83">
        <v>0.19800000000000001</v>
      </c>
      <c r="N83">
        <v>-26.01</v>
      </c>
      <c r="O83">
        <v>0.19500000000000001</v>
      </c>
      <c r="P83">
        <v>5</v>
      </c>
      <c r="Q83" t="s">
        <v>110</v>
      </c>
    </row>
    <row r="84" spans="1:17" x14ac:dyDescent="0.35">
      <c r="A84" t="s">
        <v>17</v>
      </c>
      <c r="B84" t="s">
        <v>18</v>
      </c>
      <c r="C84" t="s">
        <v>19</v>
      </c>
      <c r="D84" t="s">
        <v>103</v>
      </c>
      <c r="E84" t="s">
        <v>55</v>
      </c>
      <c r="F84" t="b">
        <v>1</v>
      </c>
      <c r="G84">
        <v>52</v>
      </c>
      <c r="H84">
        <v>50</v>
      </c>
      <c r="I84">
        <v>6.36</v>
      </c>
      <c r="J84">
        <v>6.4960000000000004</v>
      </c>
      <c r="K84">
        <v>12.856</v>
      </c>
      <c r="L84">
        <v>26.02</v>
      </c>
      <c r="M84">
        <v>0.24399999999999999</v>
      </c>
      <c r="N84">
        <v>-26.01</v>
      </c>
      <c r="O84">
        <v>0.247</v>
      </c>
      <c r="P84">
        <v>5</v>
      </c>
      <c r="Q84" t="s">
        <v>111</v>
      </c>
    </row>
    <row r="85" spans="1:17" x14ac:dyDescent="0.35">
      <c r="A85" t="s">
        <v>17</v>
      </c>
      <c r="B85" t="s">
        <v>18</v>
      </c>
      <c r="C85" t="s">
        <v>19</v>
      </c>
      <c r="D85" t="s">
        <v>103</v>
      </c>
      <c r="E85" t="s">
        <v>55</v>
      </c>
      <c r="F85" t="b">
        <v>1</v>
      </c>
      <c r="G85">
        <v>52</v>
      </c>
      <c r="H85">
        <v>60</v>
      </c>
      <c r="I85">
        <v>7.3339999999999996</v>
      </c>
      <c r="J85">
        <v>7.6760000000000002</v>
      </c>
      <c r="K85">
        <v>15.01</v>
      </c>
      <c r="L85">
        <v>26.02</v>
      </c>
      <c r="M85">
        <v>0.29199999999999998</v>
      </c>
      <c r="N85">
        <v>-26.01</v>
      </c>
      <c r="O85">
        <v>0.30099999999999999</v>
      </c>
      <c r="P85">
        <v>5</v>
      </c>
      <c r="Q85" t="s">
        <v>112</v>
      </c>
    </row>
    <row r="86" spans="1:17" x14ac:dyDescent="0.35">
      <c r="A86" t="s">
        <v>17</v>
      </c>
      <c r="B86" t="s">
        <v>18</v>
      </c>
      <c r="C86" t="s">
        <v>19</v>
      </c>
      <c r="D86" t="s">
        <v>103</v>
      </c>
      <c r="E86" t="s">
        <v>55</v>
      </c>
      <c r="F86" t="b">
        <v>1</v>
      </c>
      <c r="G86">
        <v>52</v>
      </c>
      <c r="H86">
        <v>70</v>
      </c>
      <c r="I86">
        <v>8.766</v>
      </c>
      <c r="J86">
        <v>8.8179999999999996</v>
      </c>
      <c r="K86">
        <v>17.584</v>
      </c>
      <c r="L86">
        <v>26.02</v>
      </c>
      <c r="M86">
        <v>0.33700000000000002</v>
      </c>
      <c r="N86">
        <v>-26.01</v>
      </c>
      <c r="O86">
        <v>0.32900000000000001</v>
      </c>
      <c r="P86">
        <v>5</v>
      </c>
      <c r="Q86" t="s">
        <v>113</v>
      </c>
    </row>
    <row r="87" spans="1:17" x14ac:dyDescent="0.35">
      <c r="A87" t="s">
        <v>17</v>
      </c>
      <c r="B87" t="s">
        <v>18</v>
      </c>
      <c r="C87" t="s">
        <v>19</v>
      </c>
      <c r="D87" t="s">
        <v>103</v>
      </c>
      <c r="E87" t="s">
        <v>55</v>
      </c>
      <c r="F87" t="b">
        <v>1</v>
      </c>
      <c r="G87">
        <v>52</v>
      </c>
      <c r="H87">
        <v>80</v>
      </c>
      <c r="I87">
        <v>9.8940000000000001</v>
      </c>
      <c r="J87">
        <v>10.273999999999999</v>
      </c>
      <c r="K87">
        <v>20.167999999999999</v>
      </c>
      <c r="L87">
        <v>26.02</v>
      </c>
      <c r="M87">
        <v>0.39100000000000001</v>
      </c>
      <c r="N87">
        <v>-26.01</v>
      </c>
      <c r="O87">
        <v>0.39500000000000002</v>
      </c>
      <c r="P87">
        <v>5</v>
      </c>
      <c r="Q87" t="s">
        <v>114</v>
      </c>
    </row>
    <row r="88" spans="1:17" x14ac:dyDescent="0.35">
      <c r="A88" t="s">
        <v>17</v>
      </c>
      <c r="B88" t="s">
        <v>18</v>
      </c>
      <c r="C88" t="s">
        <v>19</v>
      </c>
      <c r="D88" t="s">
        <v>103</v>
      </c>
      <c r="E88" t="s">
        <v>55</v>
      </c>
      <c r="F88" t="b">
        <v>1</v>
      </c>
      <c r="G88">
        <v>52</v>
      </c>
      <c r="H88">
        <v>85</v>
      </c>
      <c r="I88">
        <v>10.706</v>
      </c>
      <c r="J88">
        <v>10.644</v>
      </c>
      <c r="K88">
        <v>21.35</v>
      </c>
      <c r="L88">
        <v>26.02</v>
      </c>
      <c r="M88">
        <v>0.41199999999999998</v>
      </c>
      <c r="N88">
        <v>-26.01</v>
      </c>
      <c r="O88">
        <v>0.41299999999999998</v>
      </c>
      <c r="P88">
        <v>5</v>
      </c>
      <c r="Q88" t="s">
        <v>115</v>
      </c>
    </row>
    <row r="89" spans="1:17" x14ac:dyDescent="0.35">
      <c r="A89" t="s">
        <v>17</v>
      </c>
      <c r="B89" t="s">
        <v>18</v>
      </c>
      <c r="C89" t="s">
        <v>19</v>
      </c>
      <c r="D89" t="s">
        <v>103</v>
      </c>
      <c r="E89" t="s">
        <v>55</v>
      </c>
      <c r="F89" t="b">
        <v>1</v>
      </c>
      <c r="G89">
        <v>52</v>
      </c>
      <c r="H89">
        <v>90</v>
      </c>
      <c r="I89">
        <v>11.276</v>
      </c>
      <c r="J89">
        <v>11.398</v>
      </c>
      <c r="K89">
        <v>22.673999999999999</v>
      </c>
      <c r="L89">
        <v>26.02</v>
      </c>
      <c r="M89">
        <v>0.438</v>
      </c>
      <c r="N89">
        <v>-26.01</v>
      </c>
      <c r="O89">
        <v>0.435</v>
      </c>
      <c r="P89">
        <v>5</v>
      </c>
      <c r="Q89" t="s">
        <v>116</v>
      </c>
    </row>
    <row r="90" spans="1:17" x14ac:dyDescent="0.35">
      <c r="A90" t="s">
        <v>17</v>
      </c>
      <c r="B90" t="s">
        <v>18</v>
      </c>
      <c r="C90" t="s">
        <v>19</v>
      </c>
      <c r="D90" t="s">
        <v>103</v>
      </c>
      <c r="E90" t="s">
        <v>55</v>
      </c>
      <c r="F90" t="b">
        <v>1</v>
      </c>
      <c r="G90">
        <v>52</v>
      </c>
      <c r="H90">
        <v>95</v>
      </c>
      <c r="I90">
        <v>11.754</v>
      </c>
      <c r="J90">
        <v>11.808</v>
      </c>
      <c r="K90">
        <v>23.562000000000001</v>
      </c>
      <c r="L90">
        <v>26.02</v>
      </c>
      <c r="M90">
        <v>0.45500000000000002</v>
      </c>
      <c r="N90">
        <v>-26.01</v>
      </c>
      <c r="O90">
        <v>0.45400000000000001</v>
      </c>
      <c r="P90">
        <v>5</v>
      </c>
      <c r="Q90" t="s">
        <v>117</v>
      </c>
    </row>
    <row r="91" spans="1:17" x14ac:dyDescent="0.35">
      <c r="A91" t="s">
        <v>17</v>
      </c>
      <c r="B91" t="s">
        <v>18</v>
      </c>
      <c r="C91" t="s">
        <v>19</v>
      </c>
      <c r="D91" t="s">
        <v>103</v>
      </c>
      <c r="E91" t="s">
        <v>55</v>
      </c>
      <c r="F91" t="b">
        <v>1</v>
      </c>
      <c r="G91">
        <v>52</v>
      </c>
      <c r="H91">
        <v>100</v>
      </c>
      <c r="I91">
        <v>12.678000000000001</v>
      </c>
      <c r="J91">
        <v>12.704000000000001</v>
      </c>
      <c r="K91">
        <v>25.382000000000001</v>
      </c>
      <c r="L91">
        <v>26.02</v>
      </c>
      <c r="M91">
        <v>0.48699999999999999</v>
      </c>
      <c r="N91">
        <v>-26.01</v>
      </c>
      <c r="O91">
        <v>0.48799999999999999</v>
      </c>
      <c r="P91">
        <v>5</v>
      </c>
      <c r="Q91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>
      <selection activeCell="B2" sqref="B2:E2"/>
    </sheetView>
  </sheetViews>
  <sheetFormatPr defaultRowHeight="14.5" x14ac:dyDescent="0.35"/>
  <cols>
    <col min="1" max="1" width="14" customWidth="1"/>
    <col min="2" max="4" width="12" customWidth="1"/>
    <col min="5" max="5" width="10" customWidth="1"/>
  </cols>
  <sheetData>
    <row r="1" spans="1:5" x14ac:dyDescent="0.35">
      <c r="A1" t="s">
        <v>119</v>
      </c>
      <c r="B1" t="s">
        <v>120</v>
      </c>
      <c r="C1" t="s">
        <v>121</v>
      </c>
      <c r="D1" t="s">
        <v>122</v>
      </c>
      <c r="E1" t="s">
        <v>123</v>
      </c>
    </row>
    <row r="2" spans="1:5" x14ac:dyDescent="0.35">
      <c r="A2" t="s">
        <v>124</v>
      </c>
      <c r="B2" s="1">
        <v>0</v>
      </c>
      <c r="C2" s="2">
        <v>0.27800000000000002</v>
      </c>
      <c r="D2" s="2">
        <v>0.28799999999999998</v>
      </c>
      <c r="E2" s="2">
        <f t="shared" ref="E2:E46" si="0">C2+D2</f>
        <v>0.56600000000000006</v>
      </c>
    </row>
    <row r="3" spans="1:5" x14ac:dyDescent="0.35">
      <c r="A3" t="s">
        <v>124</v>
      </c>
      <c r="B3" s="1">
        <v>1</v>
      </c>
      <c r="C3" s="2">
        <v>0.26600000000000001</v>
      </c>
      <c r="D3" s="2">
        <v>0.3</v>
      </c>
      <c r="E3" s="2">
        <f t="shared" si="0"/>
        <v>0.56600000000000006</v>
      </c>
    </row>
    <row r="4" spans="1:5" x14ac:dyDescent="0.35">
      <c r="A4" t="s">
        <v>124</v>
      </c>
      <c r="B4" s="1">
        <v>5</v>
      </c>
      <c r="C4" s="2">
        <v>0.31</v>
      </c>
      <c r="D4" s="2">
        <v>0.34799999999999998</v>
      </c>
      <c r="E4" s="2">
        <f t="shared" si="0"/>
        <v>0.65799999999999992</v>
      </c>
    </row>
    <row r="5" spans="1:5" x14ac:dyDescent="0.35">
      <c r="A5" t="s">
        <v>124</v>
      </c>
      <c r="B5" s="1">
        <v>10</v>
      </c>
      <c r="C5" s="2">
        <v>0.39200000000000002</v>
      </c>
      <c r="D5" s="2">
        <v>0.432</v>
      </c>
      <c r="E5" s="2">
        <f t="shared" si="0"/>
        <v>0.82400000000000007</v>
      </c>
    </row>
    <row r="6" spans="1:5" x14ac:dyDescent="0.35">
      <c r="A6" t="s">
        <v>124</v>
      </c>
      <c r="B6" s="1">
        <v>20</v>
      </c>
      <c r="C6" s="2">
        <v>0.51</v>
      </c>
      <c r="D6" s="2">
        <v>0.56999999999999995</v>
      </c>
      <c r="E6" s="2">
        <f t="shared" si="0"/>
        <v>1.08</v>
      </c>
    </row>
    <row r="7" spans="1:5" x14ac:dyDescent="0.35">
      <c r="A7" t="s">
        <v>124</v>
      </c>
      <c r="B7" s="1">
        <v>30</v>
      </c>
      <c r="C7" s="2">
        <v>0.95599999999999996</v>
      </c>
      <c r="D7" s="2">
        <v>0.99</v>
      </c>
      <c r="E7" s="2">
        <f t="shared" si="0"/>
        <v>1.946</v>
      </c>
    </row>
    <row r="8" spans="1:5" x14ac:dyDescent="0.35">
      <c r="A8" t="s">
        <v>124</v>
      </c>
      <c r="B8" s="1">
        <v>40</v>
      </c>
      <c r="C8" s="2">
        <v>1.506</v>
      </c>
      <c r="D8" s="2">
        <v>1.68</v>
      </c>
      <c r="E8" s="2">
        <f t="shared" si="0"/>
        <v>3.1859999999999999</v>
      </c>
    </row>
    <row r="9" spans="1:5" x14ac:dyDescent="0.35">
      <c r="A9" t="s">
        <v>124</v>
      </c>
      <c r="B9" s="1">
        <v>50</v>
      </c>
      <c r="C9" s="2">
        <v>2.6</v>
      </c>
      <c r="D9" s="2">
        <v>2.6360000000000001</v>
      </c>
      <c r="E9" s="2">
        <f t="shared" si="0"/>
        <v>5.2360000000000007</v>
      </c>
    </row>
    <row r="10" spans="1:5" x14ac:dyDescent="0.35">
      <c r="A10" t="s">
        <v>124</v>
      </c>
      <c r="B10" s="1">
        <v>60</v>
      </c>
      <c r="C10" s="2">
        <v>3.6339999999999999</v>
      </c>
      <c r="D10" s="2">
        <v>3.9260000000000002</v>
      </c>
      <c r="E10" s="2">
        <f t="shared" si="0"/>
        <v>7.5600000000000005</v>
      </c>
    </row>
    <row r="11" spans="1:5" x14ac:dyDescent="0.35">
      <c r="A11" t="s">
        <v>124</v>
      </c>
      <c r="B11" s="1">
        <v>70</v>
      </c>
      <c r="C11" s="2">
        <v>5.5060000000000002</v>
      </c>
      <c r="D11" s="2">
        <v>5.5359999999999996</v>
      </c>
      <c r="E11" s="2">
        <f t="shared" si="0"/>
        <v>11.042</v>
      </c>
    </row>
    <row r="12" spans="1:5" x14ac:dyDescent="0.35">
      <c r="A12" t="s">
        <v>124</v>
      </c>
      <c r="B12" s="1">
        <v>80</v>
      </c>
      <c r="C12" s="2">
        <v>7.1180000000000003</v>
      </c>
      <c r="D12" s="2">
        <v>7.548</v>
      </c>
      <c r="E12" s="2">
        <f t="shared" si="0"/>
        <v>14.666</v>
      </c>
    </row>
    <row r="13" spans="1:5" x14ac:dyDescent="0.35">
      <c r="A13" t="s">
        <v>124</v>
      </c>
      <c r="B13" s="1">
        <v>85</v>
      </c>
      <c r="C13" s="2">
        <v>8.6460000000000008</v>
      </c>
      <c r="D13" s="2">
        <v>8.6760000000000002</v>
      </c>
      <c r="E13" s="2">
        <f t="shared" si="0"/>
        <v>17.322000000000003</v>
      </c>
    </row>
    <row r="14" spans="1:5" x14ac:dyDescent="0.35">
      <c r="A14" t="s">
        <v>124</v>
      </c>
      <c r="B14" s="1">
        <v>90</v>
      </c>
      <c r="C14" s="2">
        <v>9.6419999999999995</v>
      </c>
      <c r="D14" s="2">
        <v>9.92</v>
      </c>
      <c r="E14" s="2">
        <f t="shared" si="0"/>
        <v>19.561999999999998</v>
      </c>
    </row>
    <row r="15" spans="1:5" x14ac:dyDescent="0.35">
      <c r="A15" t="s">
        <v>124</v>
      </c>
      <c r="B15" s="1">
        <v>95</v>
      </c>
      <c r="C15" s="2">
        <v>10.866</v>
      </c>
      <c r="D15" s="2">
        <v>10.885999999999999</v>
      </c>
      <c r="E15" s="2">
        <f t="shared" si="0"/>
        <v>21.751999999999999</v>
      </c>
    </row>
    <row r="16" spans="1:5" x14ac:dyDescent="0.35">
      <c r="A16" t="s">
        <v>124</v>
      </c>
      <c r="B16" s="1">
        <v>100</v>
      </c>
      <c r="C16" s="2">
        <v>12.278</v>
      </c>
      <c r="D16" s="2">
        <v>12.65</v>
      </c>
      <c r="E16" s="2">
        <f t="shared" si="0"/>
        <v>24.928000000000001</v>
      </c>
    </row>
    <row r="17" spans="1:5" x14ac:dyDescent="0.35">
      <c r="A17" t="s">
        <v>125</v>
      </c>
      <c r="B17" s="1">
        <v>0</v>
      </c>
      <c r="C17" s="2">
        <v>0.26400000000000001</v>
      </c>
      <c r="D17" s="2">
        <v>0.28599999999999998</v>
      </c>
      <c r="E17" s="2">
        <f t="shared" si="0"/>
        <v>0.55000000000000004</v>
      </c>
    </row>
    <row r="18" spans="1:5" x14ac:dyDescent="0.35">
      <c r="A18" t="s">
        <v>125</v>
      </c>
      <c r="B18" s="1">
        <v>1</v>
      </c>
      <c r="C18" s="2">
        <v>0.36</v>
      </c>
      <c r="D18" s="2">
        <v>0.39</v>
      </c>
      <c r="E18" s="2">
        <f t="shared" si="0"/>
        <v>0.75</v>
      </c>
    </row>
    <row r="19" spans="1:5" x14ac:dyDescent="0.35">
      <c r="A19" t="s">
        <v>125</v>
      </c>
      <c r="B19" s="1">
        <v>5</v>
      </c>
      <c r="C19" s="2">
        <v>0.36</v>
      </c>
      <c r="D19" s="2">
        <v>0.39</v>
      </c>
      <c r="E19" s="2">
        <f t="shared" si="0"/>
        <v>0.75</v>
      </c>
    </row>
    <row r="20" spans="1:5" x14ac:dyDescent="0.35">
      <c r="A20" t="s">
        <v>125</v>
      </c>
      <c r="B20" s="1">
        <v>10</v>
      </c>
      <c r="C20" s="2">
        <v>0.35</v>
      </c>
      <c r="D20" s="2">
        <v>0.38</v>
      </c>
      <c r="E20" s="2">
        <f t="shared" si="0"/>
        <v>0.73</v>
      </c>
    </row>
    <row r="21" spans="1:5" x14ac:dyDescent="0.35">
      <c r="A21" t="s">
        <v>125</v>
      </c>
      <c r="B21" s="1">
        <v>20</v>
      </c>
      <c r="C21" s="2">
        <v>0.49399999999999999</v>
      </c>
      <c r="D21" s="2">
        <v>0.56599999999999995</v>
      </c>
      <c r="E21" s="2">
        <f t="shared" si="0"/>
        <v>1.06</v>
      </c>
    </row>
    <row r="22" spans="1:5" x14ac:dyDescent="0.35">
      <c r="A22" t="s">
        <v>125</v>
      </c>
      <c r="B22" s="1">
        <v>30</v>
      </c>
      <c r="C22" s="2">
        <v>0.95</v>
      </c>
      <c r="D22" s="2">
        <v>0.98</v>
      </c>
      <c r="E22" s="2">
        <f t="shared" si="0"/>
        <v>1.93</v>
      </c>
    </row>
    <row r="23" spans="1:5" x14ac:dyDescent="0.35">
      <c r="A23" t="s">
        <v>125</v>
      </c>
      <c r="B23" s="1">
        <v>40</v>
      </c>
      <c r="C23" s="2">
        <v>1.494</v>
      </c>
      <c r="D23" s="2">
        <v>1.6639999999999999</v>
      </c>
      <c r="E23" s="2">
        <f t="shared" si="0"/>
        <v>3.1579999999999999</v>
      </c>
    </row>
    <row r="24" spans="1:5" x14ac:dyDescent="0.35">
      <c r="A24" t="s">
        <v>125</v>
      </c>
      <c r="B24" s="1">
        <v>50</v>
      </c>
      <c r="C24" s="2">
        <v>2.39</v>
      </c>
      <c r="D24" s="2">
        <v>2.61</v>
      </c>
      <c r="E24" s="2">
        <f t="shared" si="0"/>
        <v>5</v>
      </c>
    </row>
    <row r="25" spans="1:5" x14ac:dyDescent="0.35">
      <c r="A25" t="s">
        <v>125</v>
      </c>
      <c r="B25" s="1">
        <v>60</v>
      </c>
      <c r="C25" s="2">
        <v>3.85</v>
      </c>
      <c r="D25" s="2">
        <v>3.88</v>
      </c>
      <c r="E25" s="2">
        <f t="shared" si="0"/>
        <v>7.73</v>
      </c>
    </row>
    <row r="26" spans="1:5" x14ac:dyDescent="0.35">
      <c r="A26" t="s">
        <v>125</v>
      </c>
      <c r="B26" s="1">
        <v>70</v>
      </c>
      <c r="C26" s="2">
        <v>5.13</v>
      </c>
      <c r="D26" s="2">
        <v>5.484</v>
      </c>
      <c r="E26" s="2">
        <f t="shared" si="0"/>
        <v>10.614000000000001</v>
      </c>
    </row>
    <row r="27" spans="1:5" x14ac:dyDescent="0.35">
      <c r="A27" t="s">
        <v>125</v>
      </c>
      <c r="B27" s="1">
        <v>80</v>
      </c>
      <c r="C27" s="2">
        <v>7.4560000000000004</v>
      </c>
      <c r="D27" s="2">
        <v>7.4859999999999998</v>
      </c>
      <c r="E27" s="2">
        <f t="shared" si="0"/>
        <v>14.942</v>
      </c>
    </row>
    <row r="28" spans="1:5" x14ac:dyDescent="0.35">
      <c r="A28" t="s">
        <v>125</v>
      </c>
      <c r="B28" s="1">
        <v>85</v>
      </c>
      <c r="C28" s="2">
        <v>8.3559999999999999</v>
      </c>
      <c r="D28" s="2">
        <v>8.61</v>
      </c>
      <c r="E28" s="2">
        <f t="shared" si="0"/>
        <v>16.966000000000001</v>
      </c>
    </row>
    <row r="29" spans="1:5" x14ac:dyDescent="0.35">
      <c r="A29" t="s">
        <v>125</v>
      </c>
      <c r="B29" s="1">
        <v>90</v>
      </c>
      <c r="C29" s="2">
        <v>9.82</v>
      </c>
      <c r="D29" s="2">
        <v>9.8439999999999994</v>
      </c>
      <c r="E29" s="2">
        <f t="shared" si="0"/>
        <v>19.664000000000001</v>
      </c>
    </row>
    <row r="30" spans="1:5" x14ac:dyDescent="0.35">
      <c r="A30" t="s">
        <v>125</v>
      </c>
      <c r="B30" s="1">
        <v>95</v>
      </c>
      <c r="C30" s="2">
        <v>10.618</v>
      </c>
      <c r="D30" s="2">
        <v>10.85</v>
      </c>
      <c r="E30" s="2">
        <f t="shared" si="0"/>
        <v>21.468</v>
      </c>
    </row>
    <row r="31" spans="1:5" x14ac:dyDescent="0.35">
      <c r="A31" t="s">
        <v>125</v>
      </c>
      <c r="B31" s="1">
        <v>100</v>
      </c>
      <c r="C31" s="2">
        <v>12.64</v>
      </c>
      <c r="D31" s="2">
        <v>12.667999999999999</v>
      </c>
      <c r="E31" s="2">
        <f t="shared" si="0"/>
        <v>25.308</v>
      </c>
    </row>
    <row r="32" spans="1:5" x14ac:dyDescent="0.35">
      <c r="A32" t="s">
        <v>126</v>
      </c>
      <c r="B32" s="1">
        <v>0</v>
      </c>
      <c r="C32" s="2">
        <v>0.25</v>
      </c>
      <c r="D32" s="2">
        <v>0.28399999999999997</v>
      </c>
      <c r="E32" s="2">
        <f t="shared" si="0"/>
        <v>0.53400000000000003</v>
      </c>
    </row>
    <row r="33" spans="1:5" x14ac:dyDescent="0.35">
      <c r="A33" t="s">
        <v>126</v>
      </c>
      <c r="B33" s="1">
        <v>1</v>
      </c>
      <c r="C33" s="2">
        <v>0.25</v>
      </c>
      <c r="D33" s="2">
        <v>0.28399999999999997</v>
      </c>
      <c r="E33" s="2">
        <f t="shared" si="0"/>
        <v>0.53400000000000003</v>
      </c>
    </row>
    <row r="34" spans="1:5" x14ac:dyDescent="0.35">
      <c r="A34" t="s">
        <v>126</v>
      </c>
      <c r="B34" s="1">
        <v>5</v>
      </c>
      <c r="C34" s="2">
        <v>0.88400000000000001</v>
      </c>
      <c r="D34" s="2">
        <v>0.91800000000000004</v>
      </c>
      <c r="E34" s="2">
        <f t="shared" si="0"/>
        <v>1.802</v>
      </c>
    </row>
    <row r="35" spans="1:5" x14ac:dyDescent="0.35">
      <c r="A35" t="s">
        <v>126</v>
      </c>
      <c r="B35" s="1">
        <v>10</v>
      </c>
      <c r="C35" s="2">
        <v>1.24</v>
      </c>
      <c r="D35" s="2">
        <v>1.3140000000000001</v>
      </c>
      <c r="E35" s="2">
        <f t="shared" si="0"/>
        <v>2.5540000000000003</v>
      </c>
    </row>
    <row r="36" spans="1:5" x14ac:dyDescent="0.35">
      <c r="A36" t="s">
        <v>126</v>
      </c>
      <c r="B36" s="1">
        <v>20</v>
      </c>
      <c r="C36" s="2">
        <v>2.6960000000000002</v>
      </c>
      <c r="D36" s="2">
        <v>2.6779999999999999</v>
      </c>
      <c r="E36" s="2">
        <f t="shared" si="0"/>
        <v>5.3740000000000006</v>
      </c>
    </row>
    <row r="37" spans="1:5" x14ac:dyDescent="0.35">
      <c r="A37" t="s">
        <v>126</v>
      </c>
      <c r="B37" s="1">
        <v>30</v>
      </c>
      <c r="C37" s="2">
        <v>3.9140000000000001</v>
      </c>
      <c r="D37" s="2">
        <v>3.8919999999999999</v>
      </c>
      <c r="E37" s="2">
        <f t="shared" si="0"/>
        <v>7.806</v>
      </c>
    </row>
    <row r="38" spans="1:5" x14ac:dyDescent="0.35">
      <c r="A38" t="s">
        <v>126</v>
      </c>
      <c r="B38" s="1">
        <v>40</v>
      </c>
      <c r="C38" s="2">
        <v>4.9000000000000004</v>
      </c>
      <c r="D38" s="2">
        <v>5.2460000000000004</v>
      </c>
      <c r="E38" s="2">
        <f t="shared" si="0"/>
        <v>10.146000000000001</v>
      </c>
    </row>
    <row r="39" spans="1:5" x14ac:dyDescent="0.35">
      <c r="A39" t="s">
        <v>126</v>
      </c>
      <c r="B39" s="1">
        <v>50</v>
      </c>
      <c r="C39" s="2">
        <v>6.3639999999999999</v>
      </c>
      <c r="D39" s="2">
        <v>6.44</v>
      </c>
      <c r="E39" s="2">
        <f t="shared" si="0"/>
        <v>12.804</v>
      </c>
    </row>
    <row r="40" spans="1:5" x14ac:dyDescent="0.35">
      <c r="A40" t="s">
        <v>126</v>
      </c>
      <c r="B40" s="1">
        <v>60</v>
      </c>
      <c r="C40" s="2">
        <v>7.3360000000000003</v>
      </c>
      <c r="D40" s="2">
        <v>7.5819999999999999</v>
      </c>
      <c r="E40" s="2">
        <f t="shared" si="0"/>
        <v>14.917999999999999</v>
      </c>
    </row>
    <row r="41" spans="1:5" x14ac:dyDescent="0.35">
      <c r="A41" t="s">
        <v>126</v>
      </c>
      <c r="B41" s="1">
        <v>70</v>
      </c>
      <c r="C41" s="2">
        <v>8.7579999999999991</v>
      </c>
      <c r="D41" s="2">
        <v>8.7560000000000002</v>
      </c>
      <c r="E41" s="2">
        <f t="shared" si="0"/>
        <v>17.513999999999999</v>
      </c>
    </row>
    <row r="42" spans="1:5" x14ac:dyDescent="0.35">
      <c r="A42" t="s">
        <v>126</v>
      </c>
      <c r="B42" s="1">
        <v>80</v>
      </c>
      <c r="C42" s="2">
        <v>9.9</v>
      </c>
      <c r="D42" s="2">
        <v>10.244</v>
      </c>
      <c r="E42" s="2">
        <f t="shared" si="0"/>
        <v>20.143999999999998</v>
      </c>
    </row>
    <row r="43" spans="1:5" x14ac:dyDescent="0.35">
      <c r="A43" t="s">
        <v>126</v>
      </c>
      <c r="B43" s="1">
        <v>85</v>
      </c>
      <c r="C43" s="2">
        <v>10.702</v>
      </c>
      <c r="D43" s="2">
        <v>10.734</v>
      </c>
      <c r="E43" s="2">
        <f t="shared" si="0"/>
        <v>21.436</v>
      </c>
    </row>
    <row r="44" spans="1:5" x14ac:dyDescent="0.35">
      <c r="A44" t="s">
        <v>126</v>
      </c>
      <c r="B44" s="1">
        <v>90</v>
      </c>
      <c r="C44" s="2">
        <v>11.254</v>
      </c>
      <c r="D44" s="2">
        <v>11.398</v>
      </c>
      <c r="E44" s="2">
        <f t="shared" si="0"/>
        <v>22.652000000000001</v>
      </c>
    </row>
    <row r="45" spans="1:5" x14ac:dyDescent="0.35">
      <c r="A45" t="s">
        <v>126</v>
      </c>
      <c r="B45" s="1">
        <v>95</v>
      </c>
      <c r="C45" s="2">
        <v>11.846</v>
      </c>
      <c r="D45" s="2">
        <v>11.875999999999999</v>
      </c>
      <c r="E45" s="2">
        <f t="shared" si="0"/>
        <v>23.722000000000001</v>
      </c>
    </row>
    <row r="46" spans="1:5" x14ac:dyDescent="0.35">
      <c r="A46" t="s">
        <v>126</v>
      </c>
      <c r="B46" s="1">
        <v>100</v>
      </c>
      <c r="C46" s="2">
        <v>12.52</v>
      </c>
      <c r="D46" s="2">
        <v>12.714</v>
      </c>
      <c r="E46" s="2">
        <f t="shared" si="0"/>
        <v>25.234000000000002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tabSelected="1" workbookViewId="0">
      <selection activeCell="K37" sqref="K37"/>
    </sheetView>
  </sheetViews>
  <sheetFormatPr defaultRowHeight="14.5" x14ac:dyDescent="0.35"/>
  <cols>
    <col min="1" max="1" width="14" customWidth="1"/>
    <col min="2" max="4" width="12" customWidth="1"/>
    <col min="5" max="5" width="10" customWidth="1"/>
  </cols>
  <sheetData>
    <row r="1" spans="1:5" x14ac:dyDescent="0.35">
      <c r="A1" t="s">
        <v>119</v>
      </c>
      <c r="B1" t="s">
        <v>120</v>
      </c>
      <c r="C1" t="s">
        <v>121</v>
      </c>
      <c r="D1" t="s">
        <v>122</v>
      </c>
      <c r="E1" t="s">
        <v>123</v>
      </c>
    </row>
    <row r="2" spans="1:5" x14ac:dyDescent="0.35">
      <c r="A2" t="s">
        <v>124</v>
      </c>
      <c r="B2" s="1">
        <v>0</v>
      </c>
      <c r="C2" s="2">
        <v>0.27800000000000002</v>
      </c>
      <c r="D2" s="2">
        <v>0.28799999999999998</v>
      </c>
      <c r="E2" s="2">
        <f t="shared" ref="E2" si="0">C2+D2</f>
        <v>0.56600000000000006</v>
      </c>
    </row>
    <row r="3" spans="1:5" x14ac:dyDescent="0.35">
      <c r="A3" t="s">
        <v>124</v>
      </c>
      <c r="B3" s="1">
        <v>1</v>
      </c>
      <c r="C3" s="2">
        <v>0.4</v>
      </c>
      <c r="D3" s="2">
        <v>0.44400000000000001</v>
      </c>
      <c r="E3" s="2">
        <f t="shared" ref="E2:E46" si="1">C3+D3</f>
        <v>0.84400000000000008</v>
      </c>
    </row>
    <row r="4" spans="1:5" x14ac:dyDescent="0.35">
      <c r="A4" t="s">
        <v>124</v>
      </c>
      <c r="B4" s="1">
        <v>5</v>
      </c>
      <c r="C4" s="2">
        <v>0.89600000000000002</v>
      </c>
      <c r="D4" s="2">
        <v>1.0720000000000001</v>
      </c>
      <c r="E4" s="2">
        <f t="shared" si="1"/>
        <v>1.968</v>
      </c>
    </row>
    <row r="5" spans="1:5" x14ac:dyDescent="0.35">
      <c r="A5" t="s">
        <v>124</v>
      </c>
      <c r="B5" s="1">
        <v>10</v>
      </c>
      <c r="C5" s="2">
        <v>1.82</v>
      </c>
      <c r="D5" s="2">
        <v>1.8520000000000001</v>
      </c>
      <c r="E5" s="2">
        <f t="shared" si="1"/>
        <v>3.6720000000000002</v>
      </c>
    </row>
    <row r="6" spans="1:5" x14ac:dyDescent="0.35">
      <c r="A6" t="s">
        <v>124</v>
      </c>
      <c r="B6" s="1">
        <v>20</v>
      </c>
      <c r="C6" s="2">
        <v>3.036</v>
      </c>
      <c r="D6" s="2">
        <v>3.37</v>
      </c>
      <c r="E6" s="2">
        <f t="shared" si="1"/>
        <v>6.4060000000000006</v>
      </c>
    </row>
    <row r="7" spans="1:5" x14ac:dyDescent="0.35">
      <c r="A7" t="s">
        <v>124</v>
      </c>
      <c r="B7" s="1">
        <v>30</v>
      </c>
      <c r="C7" s="2">
        <v>4.8140000000000001</v>
      </c>
      <c r="D7" s="2">
        <v>4.8419999999999996</v>
      </c>
      <c r="E7" s="2">
        <f t="shared" si="1"/>
        <v>9.6559999999999988</v>
      </c>
    </row>
    <row r="8" spans="1:5" x14ac:dyDescent="0.35">
      <c r="A8" t="s">
        <v>124</v>
      </c>
      <c r="B8" s="1">
        <v>40</v>
      </c>
      <c r="C8" s="2">
        <v>5.9880000000000004</v>
      </c>
      <c r="D8" s="2">
        <v>6.31</v>
      </c>
      <c r="E8" s="2">
        <f t="shared" si="1"/>
        <v>12.298</v>
      </c>
    </row>
    <row r="9" spans="1:5" x14ac:dyDescent="0.35">
      <c r="A9" t="s">
        <v>124</v>
      </c>
      <c r="B9" s="1">
        <v>50</v>
      </c>
      <c r="C9" s="2">
        <v>7.6840000000000002</v>
      </c>
      <c r="D9" s="2">
        <v>7.71</v>
      </c>
      <c r="E9" s="2">
        <f t="shared" si="1"/>
        <v>15.394</v>
      </c>
    </row>
    <row r="10" spans="1:5" x14ac:dyDescent="0.35">
      <c r="A10" t="s">
        <v>124</v>
      </c>
      <c r="B10" s="1">
        <v>60</v>
      </c>
      <c r="C10" s="2">
        <v>8.8780000000000001</v>
      </c>
      <c r="D10" s="2">
        <v>9.2040000000000006</v>
      </c>
      <c r="E10" s="2">
        <f t="shared" si="1"/>
        <v>18.082000000000001</v>
      </c>
    </row>
    <row r="11" spans="1:5" x14ac:dyDescent="0.35">
      <c r="A11" t="s">
        <v>124</v>
      </c>
      <c r="B11" s="1">
        <v>70</v>
      </c>
      <c r="C11" s="2">
        <v>10.45</v>
      </c>
      <c r="D11" s="2">
        <v>10.476000000000001</v>
      </c>
      <c r="E11" s="2">
        <f t="shared" si="1"/>
        <v>20.926000000000002</v>
      </c>
    </row>
    <row r="12" spans="1:5" x14ac:dyDescent="0.35">
      <c r="A12" t="s">
        <v>124</v>
      </c>
      <c r="B12" s="1">
        <v>80</v>
      </c>
      <c r="C12" s="2">
        <v>11.242000000000001</v>
      </c>
      <c r="D12" s="2">
        <v>11.464</v>
      </c>
      <c r="E12" s="2">
        <f t="shared" si="1"/>
        <v>22.706000000000003</v>
      </c>
    </row>
    <row r="13" spans="1:5" x14ac:dyDescent="0.35">
      <c r="A13" t="s">
        <v>124</v>
      </c>
      <c r="B13" s="1">
        <v>85</v>
      </c>
      <c r="C13" s="2">
        <v>11.6</v>
      </c>
      <c r="D13" s="2">
        <v>11.622</v>
      </c>
      <c r="E13" s="2">
        <f t="shared" si="1"/>
        <v>23.222000000000001</v>
      </c>
    </row>
    <row r="14" spans="1:5" x14ac:dyDescent="0.35">
      <c r="A14" t="s">
        <v>124</v>
      </c>
      <c r="B14" s="1">
        <v>90</v>
      </c>
      <c r="C14" s="2">
        <v>11.714</v>
      </c>
      <c r="D14" s="2">
        <v>11.768000000000001</v>
      </c>
      <c r="E14" s="2">
        <f t="shared" si="1"/>
        <v>23.481999999999999</v>
      </c>
    </row>
    <row r="15" spans="1:5" x14ac:dyDescent="0.35">
      <c r="A15" t="s">
        <v>124</v>
      </c>
      <c r="B15" s="1">
        <v>95</v>
      </c>
      <c r="C15" s="2">
        <v>11.91</v>
      </c>
      <c r="D15" s="2">
        <v>11.932</v>
      </c>
      <c r="E15" s="2">
        <f t="shared" si="1"/>
        <v>23.841999999999999</v>
      </c>
    </row>
    <row r="16" spans="1:5" x14ac:dyDescent="0.35">
      <c r="A16" t="s">
        <v>124</v>
      </c>
      <c r="B16" s="1">
        <v>100</v>
      </c>
      <c r="C16" s="2">
        <v>12.526</v>
      </c>
      <c r="D16" s="2">
        <v>12.7</v>
      </c>
      <c r="E16" s="2">
        <f t="shared" si="1"/>
        <v>25.225999999999999</v>
      </c>
    </row>
    <row r="17" spans="1:5" x14ac:dyDescent="0.35">
      <c r="A17" t="s">
        <v>125</v>
      </c>
      <c r="B17" s="1">
        <v>0</v>
      </c>
      <c r="C17" s="2">
        <v>0.61</v>
      </c>
      <c r="D17" s="2">
        <v>0.28199999999999997</v>
      </c>
      <c r="E17" s="2">
        <f t="shared" si="1"/>
        <v>0.8919999999999999</v>
      </c>
    </row>
    <row r="18" spans="1:5" x14ac:dyDescent="0.35">
      <c r="A18" t="s">
        <v>125</v>
      </c>
      <c r="B18" s="1">
        <v>1</v>
      </c>
      <c r="C18" s="2">
        <v>0.45</v>
      </c>
      <c r="D18" s="2">
        <v>0.48</v>
      </c>
      <c r="E18" s="2">
        <f t="shared" si="1"/>
        <v>0.92999999999999994</v>
      </c>
    </row>
    <row r="19" spans="1:5" x14ac:dyDescent="0.35">
      <c r="A19" t="s">
        <v>125</v>
      </c>
      <c r="B19" s="1">
        <v>5</v>
      </c>
      <c r="C19" s="2">
        <v>0.94599999999999995</v>
      </c>
      <c r="D19" s="2">
        <v>1.1040000000000001</v>
      </c>
      <c r="E19" s="2">
        <f t="shared" si="1"/>
        <v>2.0499999999999998</v>
      </c>
    </row>
    <row r="20" spans="1:5" x14ac:dyDescent="0.35">
      <c r="A20" t="s">
        <v>125</v>
      </c>
      <c r="B20" s="1">
        <v>10</v>
      </c>
      <c r="C20" s="2">
        <v>1.8540000000000001</v>
      </c>
      <c r="D20" s="2">
        <v>1.89</v>
      </c>
      <c r="E20" s="2">
        <f t="shared" si="1"/>
        <v>3.7439999999999998</v>
      </c>
    </row>
    <row r="21" spans="1:5" x14ac:dyDescent="0.35">
      <c r="A21" t="s">
        <v>125</v>
      </c>
      <c r="B21" s="1">
        <v>20</v>
      </c>
      <c r="C21" s="2">
        <v>3.03</v>
      </c>
      <c r="D21" s="2">
        <v>3.36</v>
      </c>
      <c r="E21" s="2">
        <f t="shared" si="1"/>
        <v>6.39</v>
      </c>
    </row>
    <row r="22" spans="1:5" x14ac:dyDescent="0.35">
      <c r="A22" t="s">
        <v>125</v>
      </c>
      <c r="B22" s="1">
        <v>30</v>
      </c>
      <c r="C22" s="2">
        <v>4.79</v>
      </c>
      <c r="D22" s="2">
        <v>4.8239999999999998</v>
      </c>
      <c r="E22" s="2">
        <f t="shared" si="1"/>
        <v>9.6140000000000008</v>
      </c>
    </row>
    <row r="23" spans="1:5" x14ac:dyDescent="0.35">
      <c r="A23" t="s">
        <v>125</v>
      </c>
      <c r="B23" s="1">
        <v>40</v>
      </c>
      <c r="C23" s="2">
        <v>5.9660000000000002</v>
      </c>
      <c r="D23" s="2">
        <v>6.29</v>
      </c>
      <c r="E23" s="2">
        <f t="shared" si="1"/>
        <v>12.256</v>
      </c>
    </row>
    <row r="24" spans="1:5" x14ac:dyDescent="0.35">
      <c r="A24" t="s">
        <v>125</v>
      </c>
      <c r="B24" s="1">
        <v>50</v>
      </c>
      <c r="C24" s="2">
        <v>7.3739999999999997</v>
      </c>
      <c r="D24" s="2">
        <v>7.69</v>
      </c>
      <c r="E24" s="2">
        <f t="shared" si="1"/>
        <v>15.064</v>
      </c>
    </row>
    <row r="25" spans="1:5" x14ac:dyDescent="0.35">
      <c r="A25" t="s">
        <v>125</v>
      </c>
      <c r="B25" s="1">
        <v>60</v>
      </c>
      <c r="C25" s="2">
        <v>9.15</v>
      </c>
      <c r="D25" s="2">
        <v>9.1760000000000002</v>
      </c>
      <c r="E25" s="2">
        <f t="shared" si="1"/>
        <v>18.326000000000001</v>
      </c>
    </row>
    <row r="26" spans="1:5" x14ac:dyDescent="0.35">
      <c r="A26" t="s">
        <v>125</v>
      </c>
      <c r="B26" s="1">
        <v>70</v>
      </c>
      <c r="C26" s="2">
        <v>10.19</v>
      </c>
      <c r="D26" s="2">
        <v>10.476000000000001</v>
      </c>
      <c r="E26" s="2">
        <f t="shared" si="1"/>
        <v>20.666</v>
      </c>
    </row>
    <row r="27" spans="1:5" x14ac:dyDescent="0.35">
      <c r="A27" t="s">
        <v>125</v>
      </c>
      <c r="B27" s="1">
        <v>80</v>
      </c>
      <c r="C27" s="2">
        <v>11.42</v>
      </c>
      <c r="D27" s="2">
        <v>11.44</v>
      </c>
      <c r="E27" s="2">
        <f t="shared" si="1"/>
        <v>22.86</v>
      </c>
    </row>
    <row r="28" spans="1:5" x14ac:dyDescent="0.35">
      <c r="A28" t="s">
        <v>125</v>
      </c>
      <c r="B28" s="1">
        <v>85</v>
      </c>
      <c r="C28" s="2">
        <v>11.555999999999999</v>
      </c>
      <c r="D28" s="2">
        <v>11.616</v>
      </c>
      <c r="E28" s="2">
        <f t="shared" si="1"/>
        <v>23.171999999999997</v>
      </c>
    </row>
    <row r="29" spans="1:5" x14ac:dyDescent="0.35">
      <c r="A29" t="s">
        <v>125</v>
      </c>
      <c r="B29" s="1">
        <v>90</v>
      </c>
      <c r="C29" s="2">
        <v>11.706</v>
      </c>
      <c r="D29" s="2">
        <v>11.744</v>
      </c>
      <c r="E29" s="2">
        <f t="shared" si="1"/>
        <v>23.45</v>
      </c>
    </row>
    <row r="30" spans="1:5" x14ac:dyDescent="0.35">
      <c r="A30" t="s">
        <v>125</v>
      </c>
      <c r="B30" s="1">
        <v>95</v>
      </c>
      <c r="C30" s="2">
        <v>11.89</v>
      </c>
      <c r="D30" s="2">
        <v>11.917999999999999</v>
      </c>
      <c r="E30" s="2">
        <f t="shared" si="1"/>
        <v>23.808</v>
      </c>
    </row>
    <row r="31" spans="1:5" x14ac:dyDescent="0.35">
      <c r="A31" t="s">
        <v>125</v>
      </c>
      <c r="B31" s="1">
        <v>100</v>
      </c>
      <c r="C31" s="2">
        <v>12.53</v>
      </c>
      <c r="D31" s="2">
        <v>12.698</v>
      </c>
      <c r="E31" s="2">
        <f t="shared" si="1"/>
        <v>25.228000000000002</v>
      </c>
    </row>
    <row r="32" spans="1:5" x14ac:dyDescent="0.35">
      <c r="A32" t="s">
        <v>126</v>
      </c>
      <c r="B32" s="1">
        <v>0</v>
      </c>
      <c r="C32" s="2">
        <v>0.252</v>
      </c>
      <c r="D32" s="2">
        <v>0.28799999999999998</v>
      </c>
      <c r="E32" s="2">
        <f t="shared" si="1"/>
        <v>0.54</v>
      </c>
    </row>
    <row r="33" spans="1:5" x14ac:dyDescent="0.35">
      <c r="A33" t="s">
        <v>126</v>
      </c>
      <c r="B33" s="1">
        <v>1</v>
      </c>
      <c r="C33" s="2">
        <v>0.25</v>
      </c>
      <c r="D33" s="2">
        <v>0.28399999999999997</v>
      </c>
      <c r="E33" s="2">
        <f t="shared" si="1"/>
        <v>0.53400000000000003</v>
      </c>
    </row>
    <row r="34" spans="1:5" x14ac:dyDescent="0.35">
      <c r="A34" t="s">
        <v>126</v>
      </c>
      <c r="B34" s="1">
        <v>5</v>
      </c>
      <c r="C34" s="2">
        <v>0.752</v>
      </c>
      <c r="D34" s="2">
        <v>0.874</v>
      </c>
      <c r="E34" s="2">
        <f t="shared" si="1"/>
        <v>1.6259999999999999</v>
      </c>
    </row>
    <row r="35" spans="1:5" x14ac:dyDescent="0.35">
      <c r="A35" t="s">
        <v>126</v>
      </c>
      <c r="B35" s="1">
        <v>10</v>
      </c>
      <c r="C35" s="2">
        <v>1.3660000000000001</v>
      </c>
      <c r="D35" s="2">
        <v>1.4359999999999999</v>
      </c>
      <c r="E35" s="2">
        <f t="shared" si="1"/>
        <v>2.802</v>
      </c>
    </row>
    <row r="36" spans="1:5" x14ac:dyDescent="0.35">
      <c r="A36" t="s">
        <v>126</v>
      </c>
      <c r="B36" s="1">
        <v>20</v>
      </c>
      <c r="C36" s="2">
        <v>2.4380000000000002</v>
      </c>
      <c r="D36" s="2">
        <v>2.8140000000000001</v>
      </c>
      <c r="E36" s="2">
        <f t="shared" si="1"/>
        <v>5.2520000000000007</v>
      </c>
    </row>
    <row r="37" spans="1:5" x14ac:dyDescent="0.35">
      <c r="A37" t="s">
        <v>126</v>
      </c>
      <c r="B37" s="1">
        <v>30</v>
      </c>
      <c r="C37" s="2">
        <v>3.9140000000000001</v>
      </c>
      <c r="D37" s="2">
        <v>3.8780000000000001</v>
      </c>
      <c r="E37" s="2">
        <f t="shared" si="1"/>
        <v>7.7919999999999998</v>
      </c>
    </row>
    <row r="38" spans="1:5" x14ac:dyDescent="0.35">
      <c r="A38" t="s">
        <v>126</v>
      </c>
      <c r="B38" s="1">
        <v>40</v>
      </c>
      <c r="C38" s="2">
        <v>4.92</v>
      </c>
      <c r="D38" s="2">
        <v>5.2480000000000002</v>
      </c>
      <c r="E38" s="2">
        <f t="shared" si="1"/>
        <v>10.167999999999999</v>
      </c>
    </row>
    <row r="39" spans="1:5" x14ac:dyDescent="0.35">
      <c r="A39" t="s">
        <v>126</v>
      </c>
      <c r="B39" s="1">
        <v>50</v>
      </c>
      <c r="C39" s="2">
        <v>6.36</v>
      </c>
      <c r="D39" s="2">
        <v>6.4960000000000004</v>
      </c>
      <c r="E39" s="2">
        <f t="shared" si="1"/>
        <v>12.856000000000002</v>
      </c>
    </row>
    <row r="40" spans="1:5" x14ac:dyDescent="0.35">
      <c r="A40" t="s">
        <v>126</v>
      </c>
      <c r="B40" s="1">
        <v>60</v>
      </c>
      <c r="C40" s="2">
        <v>7.3339999999999996</v>
      </c>
      <c r="D40" s="2">
        <v>7.6760000000000002</v>
      </c>
      <c r="E40" s="2">
        <f t="shared" si="1"/>
        <v>15.01</v>
      </c>
    </row>
    <row r="41" spans="1:5" x14ac:dyDescent="0.35">
      <c r="A41" t="s">
        <v>126</v>
      </c>
      <c r="B41" s="1">
        <v>70</v>
      </c>
      <c r="C41" s="2">
        <v>8.766</v>
      </c>
      <c r="D41" s="2">
        <v>8.8179999999999996</v>
      </c>
      <c r="E41" s="2">
        <f t="shared" si="1"/>
        <v>17.584</v>
      </c>
    </row>
    <row r="42" spans="1:5" x14ac:dyDescent="0.35">
      <c r="A42" t="s">
        <v>126</v>
      </c>
      <c r="B42" s="1">
        <v>80</v>
      </c>
      <c r="C42" s="2">
        <v>9.8940000000000001</v>
      </c>
      <c r="D42" s="2">
        <v>10.273999999999999</v>
      </c>
      <c r="E42" s="2">
        <f t="shared" si="1"/>
        <v>20.167999999999999</v>
      </c>
    </row>
    <row r="43" spans="1:5" x14ac:dyDescent="0.35">
      <c r="A43" t="s">
        <v>126</v>
      </c>
      <c r="B43" s="1">
        <v>85</v>
      </c>
      <c r="C43" s="2">
        <v>10.706</v>
      </c>
      <c r="D43" s="2">
        <v>10.644</v>
      </c>
      <c r="E43" s="2">
        <f t="shared" si="1"/>
        <v>21.35</v>
      </c>
    </row>
    <row r="44" spans="1:5" x14ac:dyDescent="0.35">
      <c r="A44" t="s">
        <v>126</v>
      </c>
      <c r="B44" s="1">
        <v>90</v>
      </c>
      <c r="C44" s="2">
        <v>11.276</v>
      </c>
      <c r="D44" s="2">
        <v>11.398</v>
      </c>
      <c r="E44" s="2">
        <f t="shared" si="1"/>
        <v>22.673999999999999</v>
      </c>
    </row>
    <row r="45" spans="1:5" x14ac:dyDescent="0.35">
      <c r="A45" t="s">
        <v>126</v>
      </c>
      <c r="B45" s="1">
        <v>95</v>
      </c>
      <c r="C45" s="2">
        <v>11.754</v>
      </c>
      <c r="D45" s="2">
        <v>11.808</v>
      </c>
      <c r="E45" s="2">
        <f t="shared" si="1"/>
        <v>23.561999999999998</v>
      </c>
    </row>
    <row r="46" spans="1:5" x14ac:dyDescent="0.35">
      <c r="A46" t="s">
        <v>126</v>
      </c>
      <c r="B46" s="1">
        <v>100</v>
      </c>
      <c r="C46" s="2">
        <v>12.678000000000001</v>
      </c>
      <c r="D46" s="2">
        <v>12.704000000000001</v>
      </c>
      <c r="E46" s="2">
        <f t="shared" si="1"/>
        <v>25.382000000000001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NãoLinearizado</vt:lpstr>
      <vt:lpstr>Linearizado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Duarte</cp:lastModifiedBy>
  <dcterms:created xsi:type="dcterms:W3CDTF">2026-09-09T11:54:02Z</dcterms:created>
  <dcterms:modified xsi:type="dcterms:W3CDTF">2026-09-09T11:56:47Z</dcterms:modified>
</cp:coreProperties>
</file>